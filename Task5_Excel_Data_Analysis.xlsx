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_Data" sheetId="2" state="visible" r:id="rId4"/>
    <sheet name="Working" sheetId="3" state="visible" r:id="rId5"/>
  </sheets>
  <definedNames>
    <definedName function="false" hidden="true" localSheetId="1" name="_xlnm._FilterDatabase" vbProcedure="false">Raw_Data!$A$1:$J$601</definedName>
    <definedName function="false" hidden="false" name="Category" vbProcedure="false">Raw_Data!$D$2:$D$601</definedName>
    <definedName function="false" hidden="false" name="Discount" vbProcedure="false">Raw_Data!$I$2:$I$601</definedName>
    <definedName function="false" hidden="false" name="OrderDate" vbProcedure="false">Raw_Data!$B$2:$B$601</definedName>
    <definedName function="false" hidden="false" name="OrderID" vbProcedure="false">Raw_Data!$A$2:$A$601</definedName>
    <definedName function="false" hidden="false" name="Profit" vbProcedure="false">Raw_Data!$J$2:$J$601</definedName>
    <definedName function="false" hidden="false" name="Qty" vbProcedure="false">Raw_Data!$G$2:$G$601</definedName>
    <definedName function="false" hidden="false" name="Region" vbProcedure="false">Raw_Data!$C$2:$C$601</definedName>
    <definedName function="false" hidden="false" name="Sales" vbProcedure="false">Raw_Data!$H$2:$H$601</definedName>
    <definedName function="false" hidden="false" name="Segment" vbProcedure="false">Raw_Data!$F$2:$F$601</definedName>
    <definedName function="false" hidden="false" name="SubCategory" vbProcedure="false">Raw_Data!$E$2:$E$601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<sst xmlns="http://schemas.openxmlformats.org/spreadsheetml/2006/main" count="3088" uniqueCount="655">
  <si>
    <t xml:space="preserve">Excel Data Analysis – Sales Summary (FY2025)</t>
  </si>
  <si>
    <t xml:space="preserve">Dataset: Superstore-style retail sales, 600 orders, Jan–Dec 2025 (sample/synthetic data – see README note)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</si>
  <si>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</si>
  <si>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</si>
  <si>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</si>
  <si>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</si>
  <si>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Avg Order Value</t>
  </si>
  <si>
    <t xml:space="preserve">KEY FINDINGS</t>
  </si>
  <si>
    <t xml:space="preserve">The business generated about 406.6K in sales and 17.5K in profit across 600 orders in 2025, a thin overall margin of 4.3%. Technology is the star category (54% of sales, 14.0% margin), while Furniture contributes 35% of sales but loses money (-11.1% margin, about -15.9K), mainly because of heavy discounting. Orders discounted 30% or more brought in 72K of sales but produced a combined loss of about 14K. East and West lead on sales, whereas the Central region is roughly break-even (-0.5% margin) and South has the best margin (8.9%). Sales peak in Nov-Dec (about 105K together) and March, so inventory and marketing should be planned around those periods. Recommendation: cap discounts on Furniture, push Technology, and review pricing and costs in the Central region.</t>
  </si>
  <si>
    <t xml:space="preserve">Note: dataset is sample/synthetic (Superstore-style). To use the real Superstore/Retail dataset, paste it into Raw_Data (same columns) – all tabs recalculate; update this paragraph.</t>
  </si>
  <si>
    <t xml:space="preserve">Order ID</t>
  </si>
  <si>
    <t xml:space="preserve">Order Date</t>
  </si>
  <si>
    <t xml:space="preserve">Region</t>
  </si>
  <si>
    <t xml:space="preserve">Category</t>
  </si>
  <si>
    <t xml:space="preserve">Sub-Category</t>
  </si>
  <si>
    <t xml:space="preserve">Segment</t>
  </si>
  <si>
    <t xml:space="preserve">Quantity</t>
  </si>
  <si>
    <t xml:space="preserve">Sales</t>
  </si>
  <si>
    <t xml:space="preserve">Discount</t>
  </si>
  <si>
    <t xml:space="preserve">Profit</t>
  </si>
  <si>
    <t xml:space="preserve">ORD-2025-0001</t>
  </si>
  <si>
    <t xml:space="preserve">South</t>
  </si>
  <si>
    <t xml:space="preserve">Office Supplies</t>
  </si>
  <si>
    <t xml:space="preserve">Storage</t>
  </si>
  <si>
    <t xml:space="preserve">Corporate</t>
  </si>
  <si>
    <t xml:space="preserve">ORD-2025-0002</t>
  </si>
  <si>
    <t xml:space="preserve">Central</t>
  </si>
  <si>
    <t xml:space="preserve">Furniture</t>
  </si>
  <si>
    <t xml:space="preserve">Bookcases</t>
  </si>
  <si>
    <t xml:space="preserve">Consumer</t>
  </si>
  <si>
    <t xml:space="preserve">ORD-2025-0003</t>
  </si>
  <si>
    <t xml:space="preserve">Technology</t>
  </si>
  <si>
    <t xml:space="preserve">Phones</t>
  </si>
  <si>
    <t xml:space="preserve">ORD-2025-0004</t>
  </si>
  <si>
    <t xml:space="preserve">West</t>
  </si>
  <si>
    <t xml:space="preserve">Home Office</t>
  </si>
  <si>
    <t xml:space="preserve">ORD-2025-0005</t>
  </si>
  <si>
    <t xml:space="preserve">Accessories</t>
  </si>
  <si>
    <t xml:space="preserve">ORD-2025-0006</t>
  </si>
  <si>
    <t xml:space="preserve">East</t>
  </si>
  <si>
    <t xml:space="preserve">ORD-2025-0007</t>
  </si>
  <si>
    <t xml:space="preserve">Copiers</t>
  </si>
  <si>
    <t xml:space="preserve">ORD-2025-0008</t>
  </si>
  <si>
    <t xml:space="preserve">Tables</t>
  </si>
  <si>
    <t xml:space="preserve">ORD-2025-0009</t>
  </si>
  <si>
    <t xml:space="preserve">Binders</t>
  </si>
  <si>
    <t xml:space="preserve">ORD-2025-0010</t>
  </si>
  <si>
    <t xml:space="preserve">ORD-2025-0011</t>
  </si>
  <si>
    <t xml:space="preserve">Paper</t>
  </si>
  <si>
    <t xml:space="preserve">ORD-2025-0012</t>
  </si>
  <si>
    <t xml:space="preserve">ORD-2025-0013</t>
  </si>
  <si>
    <t xml:space="preserve">Chairs</t>
  </si>
  <si>
    <t xml:space="preserve">ORD-2025-0014</t>
  </si>
  <si>
    <t xml:space="preserve">ORD-2025-0015</t>
  </si>
  <si>
    <t xml:space="preserve">ORD-2025-0016</t>
  </si>
  <si>
    <t xml:space="preserve">ORD-2025-0017</t>
  </si>
  <si>
    <t xml:space="preserve">ORD-2025-0018</t>
  </si>
  <si>
    <t xml:space="preserve">ORD-2025-0019</t>
  </si>
  <si>
    <t xml:space="preserve">ORD-2025-0020</t>
  </si>
  <si>
    <t xml:space="preserve">ORD-2025-0021</t>
  </si>
  <si>
    <t xml:space="preserve">ORD-2025-0022</t>
  </si>
  <si>
    <t xml:space="preserve">ORD-2025-0023</t>
  </si>
  <si>
    <t xml:space="preserve">ORD-2025-0024</t>
  </si>
  <si>
    <t xml:space="preserve">ORD-2025-0025</t>
  </si>
  <si>
    <t xml:space="preserve">ORD-2025-0026</t>
  </si>
  <si>
    <t xml:space="preserve">ORD-2025-0027</t>
  </si>
  <si>
    <t xml:space="preserve">ORD-2025-0028</t>
  </si>
  <si>
    <t xml:space="preserve">ORD-2025-0029</t>
  </si>
  <si>
    <t xml:space="preserve">ORD-2025-0030</t>
  </si>
  <si>
    <t xml:space="preserve">ORD-2025-0031</t>
  </si>
  <si>
    <t xml:space="preserve">ORD-2025-0032</t>
  </si>
  <si>
    <t xml:space="preserve">ORD-2025-0033</t>
  </si>
  <si>
    <t xml:space="preserve">ORD-2025-0034</t>
  </si>
  <si>
    <t xml:space="preserve">ORD-2025-0035</t>
  </si>
  <si>
    <t xml:space="preserve">ORD-2025-0036</t>
  </si>
  <si>
    <t xml:space="preserve">ORD-2025-0037</t>
  </si>
  <si>
    <t xml:space="preserve">ORD-2025-0038</t>
  </si>
  <si>
    <t xml:space="preserve">ORD-2025-0039</t>
  </si>
  <si>
    <t xml:space="preserve">ORD-2025-0040</t>
  </si>
  <si>
    <t xml:space="preserve">ORD-2025-0041</t>
  </si>
  <si>
    <t xml:space="preserve">ORD-2025-0042</t>
  </si>
  <si>
    <t xml:space="preserve">ORD-2025-0043</t>
  </si>
  <si>
    <t xml:space="preserve">ORD-2025-0044</t>
  </si>
  <si>
    <t xml:space="preserve">ORD-2025-0045</t>
  </si>
  <si>
    <t xml:space="preserve">ORD-2025-0046</t>
  </si>
  <si>
    <t xml:space="preserve">ORD-2025-0047</t>
  </si>
  <si>
    <t xml:space="preserve">ORD-2025-0048</t>
  </si>
  <si>
    <t xml:space="preserve">ORD-2025-0049</t>
  </si>
  <si>
    <t xml:space="preserve">ORD-2025-0050</t>
  </si>
  <si>
    <t xml:space="preserve">ORD-2025-0051</t>
  </si>
  <si>
    <t xml:space="preserve">ORD-2025-0052</t>
  </si>
  <si>
    <t xml:space="preserve">ORD-2025-0053</t>
  </si>
  <si>
    <t xml:space="preserve">ORD-2025-0054</t>
  </si>
  <si>
    <t xml:space="preserve">ORD-2025-0055</t>
  </si>
  <si>
    <t xml:space="preserve">ORD-2025-0056</t>
  </si>
  <si>
    <t xml:space="preserve">ORD-2025-0057</t>
  </si>
  <si>
    <t xml:space="preserve">ORD-2025-0058</t>
  </si>
  <si>
    <t xml:space="preserve">ORD-2025-0059</t>
  </si>
  <si>
    <t xml:space="preserve">ORD-2025-0060</t>
  </si>
  <si>
    <t xml:space="preserve">ORD-2025-0061</t>
  </si>
  <si>
    <t xml:space="preserve">ORD-2025-0062</t>
  </si>
  <si>
    <t xml:space="preserve">ORD-2025-0063</t>
  </si>
  <si>
    <t xml:space="preserve">ORD-2025-0064</t>
  </si>
  <si>
    <t xml:space="preserve">ORD-2025-0065</t>
  </si>
  <si>
    <t xml:space="preserve">ORD-2025-0066</t>
  </si>
  <si>
    <t xml:space="preserve">ORD-2025-0067</t>
  </si>
  <si>
    <t xml:space="preserve">ORD-2025-0068</t>
  </si>
  <si>
    <t xml:space="preserve">ORD-2025-0069</t>
  </si>
  <si>
    <t xml:space="preserve">ORD-2025-0070</t>
  </si>
  <si>
    <t xml:space="preserve">ORD-2025-0071</t>
  </si>
  <si>
    <t xml:space="preserve">ORD-2025-0072</t>
  </si>
  <si>
    <t xml:space="preserve">ORD-2025-0073</t>
  </si>
  <si>
    <t xml:space="preserve">ORD-2025-0074</t>
  </si>
  <si>
    <t xml:space="preserve">ORD-2025-0075</t>
  </si>
  <si>
    <t xml:space="preserve">ORD-2025-0076</t>
  </si>
  <si>
    <t xml:space="preserve">ORD-2025-0077</t>
  </si>
  <si>
    <t xml:space="preserve">ORD-2025-0078</t>
  </si>
  <si>
    <t xml:space="preserve">ORD-2025-0079</t>
  </si>
  <si>
    <t xml:space="preserve">ORD-2025-0080</t>
  </si>
  <si>
    <t xml:space="preserve">ORD-2025-0081</t>
  </si>
  <si>
    <t xml:space="preserve">ORD-2025-0082</t>
  </si>
  <si>
    <t xml:space="preserve">ORD-2025-0083</t>
  </si>
  <si>
    <t xml:space="preserve">ORD-2025-0084</t>
  </si>
  <si>
    <t xml:space="preserve">ORD-2025-0085</t>
  </si>
  <si>
    <t xml:space="preserve">ORD-2025-0086</t>
  </si>
  <si>
    <t xml:space="preserve">ORD-2025-0087</t>
  </si>
  <si>
    <t xml:space="preserve">ORD-2025-0088</t>
  </si>
  <si>
    <t xml:space="preserve">ORD-2025-0089</t>
  </si>
  <si>
    <t xml:space="preserve">ORD-2025-0090</t>
  </si>
  <si>
    <t xml:space="preserve">ORD-2025-0091</t>
  </si>
  <si>
    <t xml:space="preserve">ORD-2025-0092</t>
  </si>
  <si>
    <t xml:space="preserve">ORD-2025-0093</t>
  </si>
  <si>
    <t xml:space="preserve">ORD-2025-0094</t>
  </si>
  <si>
    <t xml:space="preserve">ORD-2025-0095</t>
  </si>
  <si>
    <t xml:space="preserve">ORD-2025-0096</t>
  </si>
  <si>
    <t xml:space="preserve">ORD-2025-0097</t>
  </si>
  <si>
    <t xml:space="preserve">ORD-2025-0098</t>
  </si>
  <si>
    <t xml:space="preserve">ORD-2025-0099</t>
  </si>
  <si>
    <t xml:space="preserve">ORD-2025-0100</t>
  </si>
  <si>
    <t xml:space="preserve">ORD-2025-0101</t>
  </si>
  <si>
    <t xml:space="preserve">ORD-2025-0102</t>
  </si>
  <si>
    <t xml:space="preserve">ORD-2025-0103</t>
  </si>
  <si>
    <t xml:space="preserve">ORD-2025-0104</t>
  </si>
  <si>
    <t xml:space="preserve">ORD-2025-0105</t>
  </si>
  <si>
    <t xml:space="preserve">ORD-2025-0106</t>
  </si>
  <si>
    <t xml:space="preserve">ORD-2025-0107</t>
  </si>
  <si>
    <t xml:space="preserve">ORD-2025-0108</t>
  </si>
  <si>
    <t xml:space="preserve">ORD-2025-0109</t>
  </si>
  <si>
    <t xml:space="preserve">ORD-2025-0110</t>
  </si>
  <si>
    <t xml:space="preserve">ORD-2025-0111</t>
  </si>
  <si>
    <t xml:space="preserve">ORD-2025-0112</t>
  </si>
  <si>
    <t xml:space="preserve">ORD-2025-0113</t>
  </si>
  <si>
    <t xml:space="preserve">ORD-2025-0114</t>
  </si>
  <si>
    <t xml:space="preserve">ORD-2025-0115</t>
  </si>
  <si>
    <t xml:space="preserve">ORD-2025-0116</t>
  </si>
  <si>
    <t xml:space="preserve">ORD-2025-0117</t>
  </si>
  <si>
    <t xml:space="preserve">ORD-2025-0118</t>
  </si>
  <si>
    <t xml:space="preserve">ORD-2025-0119</t>
  </si>
  <si>
    <t xml:space="preserve">ORD-2025-0120</t>
  </si>
  <si>
    <t xml:space="preserve">ORD-2025-0121</t>
  </si>
  <si>
    <t xml:space="preserve">ORD-2025-0122</t>
  </si>
  <si>
    <t xml:space="preserve">ORD-2025-0123</t>
  </si>
  <si>
    <t xml:space="preserve">ORD-2025-0124</t>
  </si>
  <si>
    <t xml:space="preserve">ORD-2025-0125</t>
  </si>
  <si>
    <t xml:space="preserve">ORD-2025-0126</t>
  </si>
  <si>
    <t xml:space="preserve">ORD-2025-0127</t>
  </si>
  <si>
    <t xml:space="preserve">ORD-2025-0128</t>
  </si>
  <si>
    <t xml:space="preserve">ORD-2025-0129</t>
  </si>
  <si>
    <t xml:space="preserve">ORD-2025-0130</t>
  </si>
  <si>
    <t xml:space="preserve">ORD-2025-0131</t>
  </si>
  <si>
    <t xml:space="preserve">ORD-2025-0132</t>
  </si>
  <si>
    <t xml:space="preserve">ORD-2025-0133</t>
  </si>
  <si>
    <t xml:space="preserve">ORD-2025-0134</t>
  </si>
  <si>
    <t xml:space="preserve">ORD-2025-0135</t>
  </si>
  <si>
    <t xml:space="preserve">ORD-2025-0136</t>
  </si>
  <si>
    <t xml:space="preserve">ORD-2025-0137</t>
  </si>
  <si>
    <t xml:space="preserve">ORD-2025-0138</t>
  </si>
  <si>
    <t xml:space="preserve">ORD-2025-0139</t>
  </si>
  <si>
    <t xml:space="preserve">ORD-2025-0140</t>
  </si>
  <si>
    <t xml:space="preserve">ORD-2025-0141</t>
  </si>
  <si>
    <t xml:space="preserve">ORD-2025-0142</t>
  </si>
  <si>
    <t xml:space="preserve">ORD-2025-0143</t>
  </si>
  <si>
    <t xml:space="preserve">ORD-2025-0144</t>
  </si>
  <si>
    <t xml:space="preserve">ORD-2025-0145</t>
  </si>
  <si>
    <t xml:space="preserve">ORD-2025-0146</t>
  </si>
  <si>
    <t xml:space="preserve">ORD-2025-0147</t>
  </si>
  <si>
    <t xml:space="preserve">ORD-2025-0148</t>
  </si>
  <si>
    <t xml:space="preserve">ORD-2025-0149</t>
  </si>
  <si>
    <t xml:space="preserve">ORD-2025-0150</t>
  </si>
  <si>
    <t xml:space="preserve">ORD-2025-0151</t>
  </si>
  <si>
    <t xml:space="preserve">ORD-2025-0152</t>
  </si>
  <si>
    <t xml:space="preserve">ORD-2025-0153</t>
  </si>
  <si>
    <t xml:space="preserve">ORD-2025-0154</t>
  </si>
  <si>
    <t xml:space="preserve">ORD-2025-0155</t>
  </si>
  <si>
    <t xml:space="preserve">ORD-2025-0156</t>
  </si>
  <si>
    <t xml:space="preserve">ORD-2025-0157</t>
  </si>
  <si>
    <t xml:space="preserve">ORD-2025-0158</t>
  </si>
  <si>
    <t xml:space="preserve">ORD-2025-0159</t>
  </si>
  <si>
    <t xml:space="preserve">ORD-2025-0160</t>
  </si>
  <si>
    <t xml:space="preserve">ORD-2025-0161</t>
  </si>
  <si>
    <t xml:space="preserve">ORD-2025-0162</t>
  </si>
  <si>
    <t xml:space="preserve">ORD-2025-0163</t>
  </si>
  <si>
    <t xml:space="preserve">ORD-2025-0164</t>
  </si>
  <si>
    <t xml:space="preserve">ORD-2025-0165</t>
  </si>
  <si>
    <t xml:space="preserve">ORD-2025-0166</t>
  </si>
  <si>
    <t xml:space="preserve">ORD-2025-0167</t>
  </si>
  <si>
    <t xml:space="preserve">ORD-2025-0168</t>
  </si>
  <si>
    <t xml:space="preserve">ORD-2025-0169</t>
  </si>
  <si>
    <t xml:space="preserve">ORD-2025-0170</t>
  </si>
  <si>
    <t xml:space="preserve">ORD-2025-0171</t>
  </si>
  <si>
    <t xml:space="preserve">ORD-2025-0172</t>
  </si>
  <si>
    <t xml:space="preserve">ORD-2025-0173</t>
  </si>
  <si>
    <t xml:space="preserve">ORD-2025-0174</t>
  </si>
  <si>
    <t xml:space="preserve">ORD-2025-0175</t>
  </si>
  <si>
    <t xml:space="preserve">ORD-2025-0176</t>
  </si>
  <si>
    <t xml:space="preserve">ORD-2025-0177</t>
  </si>
  <si>
    <t xml:space="preserve">ORD-2025-0178</t>
  </si>
  <si>
    <t xml:space="preserve">ORD-2025-0179</t>
  </si>
  <si>
    <t xml:space="preserve">ORD-2025-0180</t>
  </si>
  <si>
    <t xml:space="preserve">ORD-2025-0181</t>
  </si>
  <si>
    <t xml:space="preserve">ORD-2025-0182</t>
  </si>
  <si>
    <t xml:space="preserve">ORD-2025-0183</t>
  </si>
  <si>
    <t xml:space="preserve">ORD-2025-0184</t>
  </si>
  <si>
    <t xml:space="preserve">ORD-2025-0185</t>
  </si>
  <si>
    <t xml:space="preserve">ORD-2025-0186</t>
  </si>
  <si>
    <t xml:space="preserve">ORD-2025-0187</t>
  </si>
  <si>
    <t xml:space="preserve">ORD-2025-0188</t>
  </si>
  <si>
    <t xml:space="preserve">ORD-2025-0189</t>
  </si>
  <si>
    <t xml:space="preserve">ORD-2025-0190</t>
  </si>
  <si>
    <t xml:space="preserve">ORD-2025-0191</t>
  </si>
  <si>
    <t xml:space="preserve">ORD-2025-0192</t>
  </si>
  <si>
    <t xml:space="preserve">ORD-2025-0193</t>
  </si>
  <si>
    <t xml:space="preserve">ORD-2025-0194</t>
  </si>
  <si>
    <t xml:space="preserve">ORD-2025-0195</t>
  </si>
  <si>
    <t xml:space="preserve">ORD-2025-0196</t>
  </si>
  <si>
    <t xml:space="preserve">ORD-2025-0197</t>
  </si>
  <si>
    <t xml:space="preserve">ORD-2025-0198</t>
  </si>
  <si>
    <t xml:space="preserve">ORD-2025-0199</t>
  </si>
  <si>
    <t xml:space="preserve">ORD-2025-0200</t>
  </si>
  <si>
    <t xml:space="preserve">ORD-2025-0201</t>
  </si>
  <si>
    <t xml:space="preserve">ORD-2025-0202</t>
  </si>
  <si>
    <t xml:space="preserve">ORD-2025-0203</t>
  </si>
  <si>
    <t xml:space="preserve">ORD-2025-0204</t>
  </si>
  <si>
    <t xml:space="preserve">ORD-2025-0205</t>
  </si>
  <si>
    <t xml:space="preserve">ORD-2025-0206</t>
  </si>
  <si>
    <t xml:space="preserve">ORD-2025-0207</t>
  </si>
  <si>
    <t xml:space="preserve">ORD-2025-0208</t>
  </si>
  <si>
    <t xml:space="preserve">ORD-2025-0209</t>
  </si>
  <si>
    <t xml:space="preserve">ORD-2025-0210</t>
  </si>
  <si>
    <t xml:space="preserve">ORD-2025-0211</t>
  </si>
  <si>
    <t xml:space="preserve">ORD-2025-0212</t>
  </si>
  <si>
    <t xml:space="preserve">ORD-2025-0213</t>
  </si>
  <si>
    <t xml:space="preserve">ORD-2025-0214</t>
  </si>
  <si>
    <t xml:space="preserve">ORD-2025-0215</t>
  </si>
  <si>
    <t xml:space="preserve">ORD-2025-0216</t>
  </si>
  <si>
    <t xml:space="preserve">ORD-2025-0217</t>
  </si>
  <si>
    <t xml:space="preserve">ORD-2025-0218</t>
  </si>
  <si>
    <t xml:space="preserve">ORD-2025-0219</t>
  </si>
  <si>
    <t xml:space="preserve">ORD-2025-0220</t>
  </si>
  <si>
    <t xml:space="preserve">ORD-2025-0221</t>
  </si>
  <si>
    <t xml:space="preserve">ORD-2025-0222</t>
  </si>
  <si>
    <t xml:space="preserve">ORD-2025-0223</t>
  </si>
  <si>
    <t xml:space="preserve">ORD-2025-0224</t>
  </si>
  <si>
    <t xml:space="preserve">ORD-2025-0225</t>
  </si>
  <si>
    <t xml:space="preserve">ORD-2025-0226</t>
  </si>
  <si>
    <t xml:space="preserve">ORD-2025-0227</t>
  </si>
  <si>
    <t xml:space="preserve">ORD-2025-0228</t>
  </si>
  <si>
    <t xml:space="preserve">ORD-2025-0229</t>
  </si>
  <si>
    <t xml:space="preserve">ORD-2025-0230</t>
  </si>
  <si>
    <t xml:space="preserve">ORD-2025-0231</t>
  </si>
  <si>
    <t xml:space="preserve">ORD-2025-0232</t>
  </si>
  <si>
    <t xml:space="preserve">ORD-2025-0233</t>
  </si>
  <si>
    <t xml:space="preserve">ORD-2025-0234</t>
  </si>
  <si>
    <t xml:space="preserve">ORD-2025-0235</t>
  </si>
  <si>
    <t xml:space="preserve">ORD-2025-0236</t>
  </si>
  <si>
    <t xml:space="preserve">ORD-2025-0237</t>
  </si>
  <si>
    <t xml:space="preserve">ORD-2025-0238</t>
  </si>
  <si>
    <t xml:space="preserve">ORD-2025-0239</t>
  </si>
  <si>
    <t xml:space="preserve">ORD-2025-0240</t>
  </si>
  <si>
    <t xml:space="preserve">ORD-2025-0241</t>
  </si>
  <si>
    <t xml:space="preserve">ORD-2025-0242</t>
  </si>
  <si>
    <t xml:space="preserve">ORD-2025-0243</t>
  </si>
  <si>
    <t xml:space="preserve">ORD-2025-0244</t>
  </si>
  <si>
    <t xml:space="preserve">ORD-2025-0245</t>
  </si>
  <si>
    <t xml:space="preserve">ORD-2025-0246</t>
  </si>
  <si>
    <t xml:space="preserve">ORD-2025-0247</t>
  </si>
  <si>
    <t xml:space="preserve">ORD-2025-0248</t>
  </si>
  <si>
    <t xml:space="preserve">ORD-2025-0249</t>
  </si>
  <si>
    <t xml:space="preserve">ORD-2025-0250</t>
  </si>
  <si>
    <t xml:space="preserve">ORD-2025-0251</t>
  </si>
  <si>
    <t xml:space="preserve">ORD-2025-0252</t>
  </si>
  <si>
    <t xml:space="preserve">ORD-2025-0253</t>
  </si>
  <si>
    <t xml:space="preserve">ORD-2025-0254</t>
  </si>
  <si>
    <t xml:space="preserve">ORD-2025-0255</t>
  </si>
  <si>
    <t xml:space="preserve">ORD-2025-0256</t>
  </si>
  <si>
    <t xml:space="preserve">ORD-2025-0257</t>
  </si>
  <si>
    <t xml:space="preserve">ORD-2025-0258</t>
  </si>
  <si>
    <t xml:space="preserve">ORD-2025-0259</t>
  </si>
  <si>
    <t xml:space="preserve">ORD-2025-0260</t>
  </si>
  <si>
    <t xml:space="preserve">ORD-2025-0261</t>
  </si>
  <si>
    <t xml:space="preserve">ORD-2025-0262</t>
  </si>
  <si>
    <t xml:space="preserve">ORD-2025-0263</t>
  </si>
  <si>
    <t xml:space="preserve">ORD-2025-0264</t>
  </si>
  <si>
    <t xml:space="preserve">ORD-2025-0265</t>
  </si>
  <si>
    <t xml:space="preserve">ORD-2025-0266</t>
  </si>
  <si>
    <t xml:space="preserve">ORD-2025-0267</t>
  </si>
  <si>
    <t xml:space="preserve">ORD-2025-0268</t>
  </si>
  <si>
    <t xml:space="preserve">ORD-2025-0269</t>
  </si>
  <si>
    <t xml:space="preserve">ORD-2025-0270</t>
  </si>
  <si>
    <t xml:space="preserve">ORD-2025-0271</t>
  </si>
  <si>
    <t xml:space="preserve">ORD-2025-0272</t>
  </si>
  <si>
    <t xml:space="preserve">ORD-2025-0273</t>
  </si>
  <si>
    <t xml:space="preserve">ORD-2025-0274</t>
  </si>
  <si>
    <t xml:space="preserve">ORD-2025-0275</t>
  </si>
  <si>
    <t xml:space="preserve">ORD-2025-0276</t>
  </si>
  <si>
    <t xml:space="preserve">ORD-2025-0277</t>
  </si>
  <si>
    <t xml:space="preserve">ORD-2025-0278</t>
  </si>
  <si>
    <t xml:space="preserve">ORD-2025-0279</t>
  </si>
  <si>
    <t xml:space="preserve">ORD-2025-0280</t>
  </si>
  <si>
    <t xml:space="preserve">ORD-2025-0281</t>
  </si>
  <si>
    <t xml:space="preserve">ORD-2025-0282</t>
  </si>
  <si>
    <t xml:space="preserve">ORD-2025-0283</t>
  </si>
  <si>
    <t xml:space="preserve">ORD-2025-0284</t>
  </si>
  <si>
    <t xml:space="preserve">ORD-2025-0285</t>
  </si>
  <si>
    <t xml:space="preserve">ORD-2025-0286</t>
  </si>
  <si>
    <t xml:space="preserve">ORD-2025-0287</t>
  </si>
  <si>
    <t xml:space="preserve">ORD-2025-0288</t>
  </si>
  <si>
    <t xml:space="preserve">ORD-2025-0289</t>
  </si>
  <si>
    <t xml:space="preserve">ORD-2025-0290</t>
  </si>
  <si>
    <t xml:space="preserve">ORD-2025-0291</t>
  </si>
  <si>
    <t xml:space="preserve">ORD-2025-0292</t>
  </si>
  <si>
    <t xml:space="preserve">ORD-2025-0293</t>
  </si>
  <si>
    <t xml:space="preserve">ORD-2025-0294</t>
  </si>
  <si>
    <t xml:space="preserve">ORD-2025-0295</t>
  </si>
  <si>
    <t xml:space="preserve">ORD-2025-0296</t>
  </si>
  <si>
    <t xml:space="preserve">ORD-2025-0297</t>
  </si>
  <si>
    <t xml:space="preserve">ORD-2025-0298</t>
  </si>
  <si>
    <t xml:space="preserve">ORD-2025-0299</t>
  </si>
  <si>
    <t xml:space="preserve">ORD-2025-0300</t>
  </si>
  <si>
    <t xml:space="preserve">ORD-2025-0301</t>
  </si>
  <si>
    <t xml:space="preserve">ORD-2025-0302</t>
  </si>
  <si>
    <t xml:space="preserve">ORD-2025-0303</t>
  </si>
  <si>
    <t xml:space="preserve">ORD-2025-0304</t>
  </si>
  <si>
    <t xml:space="preserve">ORD-2025-0305</t>
  </si>
  <si>
    <t xml:space="preserve">ORD-2025-0306</t>
  </si>
  <si>
    <t xml:space="preserve">ORD-2025-0307</t>
  </si>
  <si>
    <t xml:space="preserve">ORD-2025-0308</t>
  </si>
  <si>
    <t xml:space="preserve">ORD-2025-0309</t>
  </si>
  <si>
    <t xml:space="preserve">ORD-2025-0310</t>
  </si>
  <si>
    <t xml:space="preserve">ORD-2025-0311</t>
  </si>
  <si>
    <t xml:space="preserve">ORD-2025-0312</t>
  </si>
  <si>
    <t xml:space="preserve">ORD-2025-0313</t>
  </si>
  <si>
    <t xml:space="preserve">ORD-2025-0314</t>
  </si>
  <si>
    <t xml:space="preserve">ORD-2025-0315</t>
  </si>
  <si>
    <t xml:space="preserve">ORD-2025-0316</t>
  </si>
  <si>
    <t xml:space="preserve">ORD-2025-0317</t>
  </si>
  <si>
    <t xml:space="preserve">ORD-2025-0318</t>
  </si>
  <si>
    <t xml:space="preserve">ORD-2025-0319</t>
  </si>
  <si>
    <t xml:space="preserve">ORD-2025-0320</t>
  </si>
  <si>
    <t xml:space="preserve">ORD-2025-0321</t>
  </si>
  <si>
    <t xml:space="preserve">ORD-2025-0322</t>
  </si>
  <si>
    <t xml:space="preserve">ORD-2025-0323</t>
  </si>
  <si>
    <t xml:space="preserve">ORD-2025-0324</t>
  </si>
  <si>
    <t xml:space="preserve">ORD-2025-0325</t>
  </si>
  <si>
    <t xml:space="preserve">ORD-2025-0326</t>
  </si>
  <si>
    <t xml:space="preserve">ORD-2025-0327</t>
  </si>
  <si>
    <t xml:space="preserve">ORD-2025-0328</t>
  </si>
  <si>
    <t xml:space="preserve">ORD-2025-0329</t>
  </si>
  <si>
    <t xml:space="preserve">ORD-2025-0330</t>
  </si>
  <si>
    <t xml:space="preserve">ORD-2025-0331</t>
  </si>
  <si>
    <t xml:space="preserve">ORD-2025-0332</t>
  </si>
  <si>
    <t xml:space="preserve">ORD-2025-0333</t>
  </si>
  <si>
    <t xml:space="preserve">ORD-2025-0334</t>
  </si>
  <si>
    <t xml:space="preserve">ORD-2025-0335</t>
  </si>
  <si>
    <t xml:space="preserve">ORD-2025-0336</t>
  </si>
  <si>
    <t xml:space="preserve">ORD-2025-0337</t>
  </si>
  <si>
    <t xml:space="preserve">ORD-2025-0338</t>
  </si>
  <si>
    <t xml:space="preserve">ORD-2025-0339</t>
  </si>
  <si>
    <t xml:space="preserve">ORD-2025-0340</t>
  </si>
  <si>
    <t xml:space="preserve">ORD-2025-0341</t>
  </si>
  <si>
    <t xml:space="preserve">ORD-2025-0342</t>
  </si>
  <si>
    <t xml:space="preserve">ORD-2025-0343</t>
  </si>
  <si>
    <t xml:space="preserve">ORD-2025-0344</t>
  </si>
  <si>
    <t xml:space="preserve">ORD-2025-0345</t>
  </si>
  <si>
    <t xml:space="preserve">ORD-2025-0346</t>
  </si>
  <si>
    <t xml:space="preserve">ORD-2025-0347</t>
  </si>
  <si>
    <t xml:space="preserve">ORD-2025-0348</t>
  </si>
  <si>
    <t xml:space="preserve">ORD-2025-0349</t>
  </si>
  <si>
    <t xml:space="preserve">ORD-2025-0350</t>
  </si>
  <si>
    <t xml:space="preserve">ORD-2025-0351</t>
  </si>
  <si>
    <t xml:space="preserve">ORD-2025-0352</t>
  </si>
  <si>
    <t xml:space="preserve">ORD-2025-0353</t>
  </si>
  <si>
    <t xml:space="preserve">ORD-2025-0354</t>
  </si>
  <si>
    <t xml:space="preserve">ORD-2025-0355</t>
  </si>
  <si>
    <t xml:space="preserve">ORD-2025-0356</t>
  </si>
  <si>
    <t xml:space="preserve">ORD-2025-0357</t>
  </si>
  <si>
    <t xml:space="preserve">ORD-2025-0358</t>
  </si>
  <si>
    <t xml:space="preserve">ORD-2025-0359</t>
  </si>
  <si>
    <t xml:space="preserve">ORD-2025-0360</t>
  </si>
  <si>
    <t xml:space="preserve">ORD-2025-0361</t>
  </si>
  <si>
    <t xml:space="preserve">ORD-2025-0362</t>
  </si>
  <si>
    <t xml:space="preserve">ORD-2025-0363</t>
  </si>
  <si>
    <t xml:space="preserve">ORD-2025-0364</t>
  </si>
  <si>
    <t xml:space="preserve">ORD-2025-0365</t>
  </si>
  <si>
    <t xml:space="preserve">ORD-2025-0366</t>
  </si>
  <si>
    <t xml:space="preserve">ORD-2025-0367</t>
  </si>
  <si>
    <t xml:space="preserve">ORD-2025-0368</t>
  </si>
  <si>
    <t xml:space="preserve">ORD-2025-0369</t>
  </si>
  <si>
    <t xml:space="preserve">ORD-2025-0370</t>
  </si>
  <si>
    <t xml:space="preserve">ORD-2025-0371</t>
  </si>
  <si>
    <t xml:space="preserve">ORD-2025-0372</t>
  </si>
  <si>
    <t xml:space="preserve">ORD-2025-0373</t>
  </si>
  <si>
    <t xml:space="preserve">ORD-2025-0374</t>
  </si>
  <si>
    <t xml:space="preserve">ORD-2025-0375</t>
  </si>
  <si>
    <t xml:space="preserve">ORD-2025-0376</t>
  </si>
  <si>
    <t xml:space="preserve">ORD-2025-0377</t>
  </si>
  <si>
    <t xml:space="preserve">ORD-2025-0378</t>
  </si>
  <si>
    <t xml:space="preserve">ORD-2025-0379</t>
  </si>
  <si>
    <t xml:space="preserve">ORD-2025-0380</t>
  </si>
  <si>
    <t xml:space="preserve">ORD-2025-0381</t>
  </si>
  <si>
    <t xml:space="preserve">ORD-2025-0382</t>
  </si>
  <si>
    <t xml:space="preserve">ORD-2025-0383</t>
  </si>
  <si>
    <t xml:space="preserve">ORD-2025-0384</t>
  </si>
  <si>
    <t xml:space="preserve">ORD-2025-0385</t>
  </si>
  <si>
    <t xml:space="preserve">ORD-2025-0386</t>
  </si>
  <si>
    <t xml:space="preserve">ORD-2025-0387</t>
  </si>
  <si>
    <t xml:space="preserve">ORD-2025-0388</t>
  </si>
  <si>
    <t xml:space="preserve">ORD-2025-0389</t>
  </si>
  <si>
    <t xml:space="preserve">ORD-2025-0390</t>
  </si>
  <si>
    <t xml:space="preserve">ORD-2025-0391</t>
  </si>
  <si>
    <t xml:space="preserve">ORD-2025-0392</t>
  </si>
  <si>
    <t xml:space="preserve">ORD-2025-0393</t>
  </si>
  <si>
    <t xml:space="preserve">ORD-2025-0394</t>
  </si>
  <si>
    <t xml:space="preserve">ORD-2025-0395</t>
  </si>
  <si>
    <t xml:space="preserve">ORD-2025-0396</t>
  </si>
  <si>
    <t xml:space="preserve">ORD-2025-0397</t>
  </si>
  <si>
    <t xml:space="preserve">ORD-2025-0398</t>
  </si>
  <si>
    <t xml:space="preserve">ORD-2025-0399</t>
  </si>
  <si>
    <t xml:space="preserve">ORD-2025-0400</t>
  </si>
  <si>
    <t xml:space="preserve">ORD-2025-0401</t>
  </si>
  <si>
    <t xml:space="preserve">ORD-2025-0402</t>
  </si>
  <si>
    <t xml:space="preserve">ORD-2025-0403</t>
  </si>
  <si>
    <t xml:space="preserve">ORD-2025-0404</t>
  </si>
  <si>
    <t xml:space="preserve">ORD-2025-0405</t>
  </si>
  <si>
    <t xml:space="preserve">ORD-2025-0406</t>
  </si>
  <si>
    <t xml:space="preserve">ORD-2025-0407</t>
  </si>
  <si>
    <t xml:space="preserve">ORD-2025-0408</t>
  </si>
  <si>
    <t xml:space="preserve">ORD-2025-0409</t>
  </si>
  <si>
    <t xml:space="preserve">ORD-2025-0410</t>
  </si>
  <si>
    <t xml:space="preserve">ORD-2025-0411</t>
  </si>
  <si>
    <t xml:space="preserve">ORD-2025-0412</t>
  </si>
  <si>
    <t xml:space="preserve">ORD-2025-0413</t>
  </si>
  <si>
    <t xml:space="preserve">ORD-2025-0414</t>
  </si>
  <si>
    <t xml:space="preserve">ORD-2025-0415</t>
  </si>
  <si>
    <t xml:space="preserve">ORD-2025-0416</t>
  </si>
  <si>
    <t xml:space="preserve">ORD-2025-0417</t>
  </si>
  <si>
    <t xml:space="preserve">ORD-2025-0418</t>
  </si>
  <si>
    <t xml:space="preserve">ORD-2025-0419</t>
  </si>
  <si>
    <t xml:space="preserve">ORD-2025-0420</t>
  </si>
  <si>
    <t xml:space="preserve">ORD-2025-0421</t>
  </si>
  <si>
    <t xml:space="preserve">ORD-2025-0422</t>
  </si>
  <si>
    <t xml:space="preserve">ORD-2025-0423</t>
  </si>
  <si>
    <t xml:space="preserve">ORD-2025-0424</t>
  </si>
  <si>
    <t xml:space="preserve">ORD-2025-0425</t>
  </si>
  <si>
    <t xml:space="preserve">ORD-2025-0426</t>
  </si>
  <si>
    <t xml:space="preserve">ORD-2025-0427</t>
  </si>
  <si>
    <t xml:space="preserve">ORD-2025-0428</t>
  </si>
  <si>
    <t xml:space="preserve">ORD-2025-0429</t>
  </si>
  <si>
    <t xml:space="preserve">ORD-2025-0430</t>
  </si>
  <si>
    <t xml:space="preserve">ORD-2025-0431</t>
  </si>
  <si>
    <t xml:space="preserve">ORD-2025-0432</t>
  </si>
  <si>
    <t xml:space="preserve">ORD-2025-0433</t>
  </si>
  <si>
    <t xml:space="preserve">ORD-2025-0434</t>
  </si>
  <si>
    <t xml:space="preserve">ORD-2025-0435</t>
  </si>
  <si>
    <t xml:space="preserve">ORD-2025-0436</t>
  </si>
  <si>
    <t xml:space="preserve">ORD-2025-0437</t>
  </si>
  <si>
    <t xml:space="preserve">ORD-2025-0438</t>
  </si>
  <si>
    <t xml:space="preserve">ORD-2025-0439</t>
  </si>
  <si>
    <t xml:space="preserve">ORD-2025-0440</t>
  </si>
  <si>
    <t xml:space="preserve">ORD-2025-0441</t>
  </si>
  <si>
    <t xml:space="preserve">ORD-2025-0442</t>
  </si>
  <si>
    <t xml:space="preserve">ORD-2025-0443</t>
  </si>
  <si>
    <t xml:space="preserve">ORD-2025-0444</t>
  </si>
  <si>
    <t xml:space="preserve">ORD-2025-0445</t>
  </si>
  <si>
    <t xml:space="preserve">ORD-2025-0446</t>
  </si>
  <si>
    <t xml:space="preserve">ORD-2025-0447</t>
  </si>
  <si>
    <t xml:space="preserve">ORD-2025-0448</t>
  </si>
  <si>
    <t xml:space="preserve">ORD-2025-0449</t>
  </si>
  <si>
    <t xml:space="preserve">ORD-2025-0450</t>
  </si>
  <si>
    <t xml:space="preserve">ORD-2025-0451</t>
  </si>
  <si>
    <t xml:space="preserve">ORD-2025-0452</t>
  </si>
  <si>
    <t xml:space="preserve">ORD-2025-0453</t>
  </si>
  <si>
    <t xml:space="preserve">ORD-2025-0454</t>
  </si>
  <si>
    <t xml:space="preserve">ORD-2025-0455</t>
  </si>
  <si>
    <t xml:space="preserve">ORD-2025-0456</t>
  </si>
  <si>
    <t xml:space="preserve">ORD-2025-0457</t>
  </si>
  <si>
    <t xml:space="preserve">ORD-2025-0458</t>
  </si>
  <si>
    <t xml:space="preserve">ORD-2025-0459</t>
  </si>
  <si>
    <t xml:space="preserve">ORD-2025-0460</t>
  </si>
  <si>
    <t xml:space="preserve">ORD-2025-0461</t>
  </si>
  <si>
    <t xml:space="preserve">ORD-2025-0462</t>
  </si>
  <si>
    <t xml:space="preserve">ORD-2025-0463</t>
  </si>
  <si>
    <t xml:space="preserve">ORD-2025-0464</t>
  </si>
  <si>
    <t xml:space="preserve">ORD-2025-0465</t>
  </si>
  <si>
    <t xml:space="preserve">ORD-2025-0466</t>
  </si>
  <si>
    <t xml:space="preserve">ORD-2025-0467</t>
  </si>
  <si>
    <t xml:space="preserve">ORD-2025-0468</t>
  </si>
  <si>
    <t xml:space="preserve">ORD-2025-0469</t>
  </si>
  <si>
    <t xml:space="preserve">ORD-2025-0470</t>
  </si>
  <si>
    <t xml:space="preserve">ORD-2025-0471</t>
  </si>
  <si>
    <t xml:space="preserve">ORD-2025-0472</t>
  </si>
  <si>
    <t xml:space="preserve">ORD-2025-0473</t>
  </si>
  <si>
    <t xml:space="preserve">ORD-2025-0474</t>
  </si>
  <si>
    <t xml:space="preserve">ORD-2025-0475</t>
  </si>
  <si>
    <t xml:space="preserve">ORD-2025-0476</t>
  </si>
  <si>
    <t xml:space="preserve">ORD-2025-0477</t>
  </si>
  <si>
    <t xml:space="preserve">ORD-2025-0478</t>
  </si>
  <si>
    <t xml:space="preserve">ORD-2025-0479</t>
  </si>
  <si>
    <t xml:space="preserve">ORD-2025-0480</t>
  </si>
  <si>
    <t xml:space="preserve">ORD-2025-0481</t>
  </si>
  <si>
    <t xml:space="preserve">ORD-2025-0482</t>
  </si>
  <si>
    <t xml:space="preserve">ORD-2025-0483</t>
  </si>
  <si>
    <t xml:space="preserve">ORD-2025-0484</t>
  </si>
  <si>
    <t xml:space="preserve">ORD-2025-0485</t>
  </si>
  <si>
    <t xml:space="preserve">ORD-2025-0486</t>
  </si>
  <si>
    <t xml:space="preserve">ORD-2025-0487</t>
  </si>
  <si>
    <t xml:space="preserve">ORD-2025-0488</t>
  </si>
  <si>
    <t xml:space="preserve">ORD-2025-0489</t>
  </si>
  <si>
    <t xml:space="preserve">ORD-2025-0490</t>
  </si>
  <si>
    <t xml:space="preserve">ORD-2025-0491</t>
  </si>
  <si>
    <t xml:space="preserve">ORD-2025-0492</t>
  </si>
  <si>
    <t xml:space="preserve">ORD-2025-0493</t>
  </si>
  <si>
    <t xml:space="preserve">ORD-2025-0494</t>
  </si>
  <si>
    <t xml:space="preserve">ORD-2025-0495</t>
  </si>
  <si>
    <t xml:space="preserve">ORD-2025-0496</t>
  </si>
  <si>
    <t xml:space="preserve">ORD-2025-0497</t>
  </si>
  <si>
    <t xml:space="preserve">ORD-2025-0498</t>
  </si>
  <si>
    <t xml:space="preserve">ORD-2025-0499</t>
  </si>
  <si>
    <t xml:space="preserve">ORD-2025-0500</t>
  </si>
  <si>
    <t xml:space="preserve">ORD-2025-0501</t>
  </si>
  <si>
    <t xml:space="preserve">ORD-2025-0502</t>
  </si>
  <si>
    <t xml:space="preserve">ORD-2025-0503</t>
  </si>
  <si>
    <t xml:space="preserve">ORD-2025-0504</t>
  </si>
  <si>
    <t xml:space="preserve">ORD-2025-0505</t>
  </si>
  <si>
    <t xml:space="preserve">ORD-2025-0506</t>
  </si>
  <si>
    <t xml:space="preserve">ORD-2025-0507</t>
  </si>
  <si>
    <t xml:space="preserve">ORD-2025-0508</t>
  </si>
  <si>
    <t xml:space="preserve">ORD-2025-0509</t>
  </si>
  <si>
    <t xml:space="preserve">ORD-2025-0510</t>
  </si>
  <si>
    <t xml:space="preserve">ORD-2025-0511</t>
  </si>
  <si>
    <t xml:space="preserve">ORD-2025-0512</t>
  </si>
  <si>
    <t xml:space="preserve">ORD-2025-0513</t>
  </si>
  <si>
    <t xml:space="preserve">ORD-2025-0514</t>
  </si>
  <si>
    <t xml:space="preserve">ORD-2025-0515</t>
  </si>
  <si>
    <t xml:space="preserve">ORD-2025-0516</t>
  </si>
  <si>
    <t xml:space="preserve">ORD-2025-0517</t>
  </si>
  <si>
    <t xml:space="preserve">ORD-2025-0518</t>
  </si>
  <si>
    <t xml:space="preserve">ORD-2025-0519</t>
  </si>
  <si>
    <t xml:space="preserve">ORD-2025-0520</t>
  </si>
  <si>
    <t xml:space="preserve">ORD-2025-0521</t>
  </si>
  <si>
    <t xml:space="preserve">ORD-2025-0522</t>
  </si>
  <si>
    <t xml:space="preserve">ORD-2025-0523</t>
  </si>
  <si>
    <t xml:space="preserve">ORD-2025-0524</t>
  </si>
  <si>
    <t xml:space="preserve">ORD-2025-0525</t>
  </si>
  <si>
    <t xml:space="preserve">ORD-2025-0526</t>
  </si>
  <si>
    <t xml:space="preserve">ORD-2025-0527</t>
  </si>
  <si>
    <t xml:space="preserve">ORD-2025-0528</t>
  </si>
  <si>
    <t xml:space="preserve">ORD-2025-0529</t>
  </si>
  <si>
    <t xml:space="preserve">ORD-2025-0530</t>
  </si>
  <si>
    <t xml:space="preserve">ORD-2025-0531</t>
  </si>
  <si>
    <t xml:space="preserve">ORD-2025-0532</t>
  </si>
  <si>
    <t xml:space="preserve">ORD-2025-0533</t>
  </si>
  <si>
    <t xml:space="preserve">ORD-2025-0534</t>
  </si>
  <si>
    <t xml:space="preserve">ORD-2025-0535</t>
  </si>
  <si>
    <t xml:space="preserve">ORD-2025-0536</t>
  </si>
  <si>
    <t xml:space="preserve">ORD-2025-0537</t>
  </si>
  <si>
    <t xml:space="preserve">ORD-2025-0538</t>
  </si>
  <si>
    <t xml:space="preserve">ORD-2025-0539</t>
  </si>
  <si>
    <t xml:space="preserve">ORD-2025-0540</t>
  </si>
  <si>
    <t xml:space="preserve">ORD-2025-0541</t>
  </si>
  <si>
    <t xml:space="preserve">ORD-2025-0542</t>
  </si>
  <si>
    <t xml:space="preserve">ORD-2025-0543</t>
  </si>
  <si>
    <t xml:space="preserve">ORD-2025-0544</t>
  </si>
  <si>
    <t xml:space="preserve">ORD-2025-0545</t>
  </si>
  <si>
    <t xml:space="preserve">ORD-2025-0546</t>
  </si>
  <si>
    <t xml:space="preserve">ORD-2025-0547</t>
  </si>
  <si>
    <t xml:space="preserve">ORD-2025-0548</t>
  </si>
  <si>
    <t xml:space="preserve">ORD-2025-0549</t>
  </si>
  <si>
    <t xml:space="preserve">ORD-2025-0550</t>
  </si>
  <si>
    <t xml:space="preserve">ORD-2025-0551</t>
  </si>
  <si>
    <t xml:space="preserve">ORD-2025-0552</t>
  </si>
  <si>
    <t xml:space="preserve">ORD-2025-0553</t>
  </si>
  <si>
    <t xml:space="preserve">ORD-2025-0554</t>
  </si>
  <si>
    <t xml:space="preserve">ORD-2025-0555</t>
  </si>
  <si>
    <t xml:space="preserve">ORD-2025-0556</t>
  </si>
  <si>
    <t xml:space="preserve">ORD-2025-0557</t>
  </si>
  <si>
    <t xml:space="preserve">ORD-2025-0558</t>
  </si>
  <si>
    <t xml:space="preserve">ORD-2025-0559</t>
  </si>
  <si>
    <t xml:space="preserve">ORD-2025-0560</t>
  </si>
  <si>
    <t xml:space="preserve">ORD-2025-0561</t>
  </si>
  <si>
    <t xml:space="preserve">ORD-2025-0562</t>
  </si>
  <si>
    <t xml:space="preserve">ORD-2025-0563</t>
  </si>
  <si>
    <t xml:space="preserve">ORD-2025-0564</t>
  </si>
  <si>
    <t xml:space="preserve">ORD-2025-0565</t>
  </si>
  <si>
    <t xml:space="preserve">ORD-2025-0566</t>
  </si>
  <si>
    <t xml:space="preserve">ORD-2025-0567</t>
  </si>
  <si>
    <t xml:space="preserve">ORD-2025-0568</t>
  </si>
  <si>
    <t xml:space="preserve">ORD-2025-0569</t>
  </si>
  <si>
    <t xml:space="preserve">ORD-2025-0570</t>
  </si>
  <si>
    <t xml:space="preserve">ORD-2025-0571</t>
  </si>
  <si>
    <t xml:space="preserve">ORD-2025-0572</t>
  </si>
  <si>
    <t xml:space="preserve">ORD-2025-0573</t>
  </si>
  <si>
    <t xml:space="preserve">ORD-2025-0574</t>
  </si>
  <si>
    <t xml:space="preserve">ORD-2025-0575</t>
  </si>
  <si>
    <t xml:space="preserve">ORD-2025-0576</t>
  </si>
  <si>
    <t xml:space="preserve">ORD-2025-0577</t>
  </si>
  <si>
    <t xml:space="preserve">ORD-2025-0578</t>
  </si>
  <si>
    <t xml:space="preserve">ORD-2025-0579</t>
  </si>
  <si>
    <t xml:space="preserve">ORD-2025-0580</t>
  </si>
  <si>
    <t xml:space="preserve">ORD-2025-0581</t>
  </si>
  <si>
    <t xml:space="preserve">ORD-2025-0582</t>
  </si>
  <si>
    <t xml:space="preserve">ORD-2025-0583</t>
  </si>
  <si>
    <t xml:space="preserve">ORD-2025-0584</t>
  </si>
  <si>
    <t xml:space="preserve">ORD-2025-0585</t>
  </si>
  <si>
    <t xml:space="preserve">ORD-2025-0586</t>
  </si>
  <si>
    <t xml:space="preserve">ORD-2025-0587</t>
  </si>
  <si>
    <t xml:space="preserve">ORD-2025-0588</t>
  </si>
  <si>
    <t xml:space="preserve">ORD-2025-0589</t>
  </si>
  <si>
    <t xml:space="preserve">ORD-2025-0590</t>
  </si>
  <si>
    <t xml:space="preserve">ORD-2025-0591</t>
  </si>
  <si>
    <t xml:space="preserve">ORD-2025-0592</t>
  </si>
  <si>
    <t xml:space="preserve">ORD-2025-0593</t>
  </si>
  <si>
    <t xml:space="preserve">ORD-2025-0594</t>
  </si>
  <si>
    <t xml:space="preserve">ORD-2025-0595</t>
  </si>
  <si>
    <t xml:space="preserve">ORD-2025-0596</t>
  </si>
  <si>
    <t xml:space="preserve">ORD-2025-0597</t>
  </si>
  <si>
    <t xml:space="preserve">ORD-2025-0598</t>
  </si>
  <si>
    <t xml:space="preserve">ORD-2025-0599</t>
  </si>
  <si>
    <t xml:space="preserve">ORD-2025-0600</t>
  </si>
  <si>
    <t xml:space="preserve">Working Tab – SUMIFS / COUNTIFS / AVERAGEIFS (pivot-style tables)</t>
  </si>
  <si>
    <t xml:space="preserve">All figures are formulas on Raw_Data using named ranges (Sales, Profit, Region, ...). Change Raw_Data and everything updates.</t>
  </si>
  <si>
    <t xml:space="preserve">OVERALL KPIs</t>
  </si>
  <si>
    <t xml:space="preserve">Units Sold</t>
  </si>
  <si>
    <t xml:space="preserve">Avg Discount</t>
  </si>
  <si>
    <t xml:space="preserve">PIVOT 1 – Sales by Category</t>
  </si>
  <si>
    <t xml:space="preserve">Orders</t>
  </si>
  <si>
    <t xml:space="preserve">% of Sales</t>
  </si>
  <si>
    <t xml:space="preserve">Grand Total</t>
  </si>
  <si>
    <t xml:space="preserve">PIVOT 2 – Sales by Region</t>
  </si>
  <si>
    <t xml:space="preserve">PIVOT 3 – Sales by Customer Segment</t>
  </si>
  <si>
    <t xml:space="preserve">PIVOT 4 – Monthly Sales Trend</t>
  </si>
  <si>
    <t xml:space="preserve">Month Start</t>
  </si>
  <si>
    <t xml:space="preserve">MoM Sales Growth</t>
  </si>
  <si>
    <t xml:space="preserve">PIVOT 5 – Sales: Category × Region (cross-tab)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</si>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</sst>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0"/>
    <numFmt numFmtId="168" formatCode="yyyy\-mm\-dd"/>
    <numFmt numFmtId="169" formatCode="0%"/>
    <numFmt numFmtId="170" formatCode="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Working!B14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Working!$A$15:$A$17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Working!$B$15:$B$17</c:f>
              <c:numCache>
                <c:formatCode>#,##0</c:formatCode>
                <c:ptCount val="3"/>
                <c:pt idx="0">
                  <c:v>143184.44</c:v>
                </c:pt>
                <c:pt idx="1">
                  <c:v>42325.07</c:v>
                </c:pt>
                <c:pt idx="2">
                  <c:v>221127.13</c:v>
                </c:pt>
              </c:numCache>
            </c:numRef>
          </c:val>
        </c:ser>
        <c:ser>
          <c:idx val="1"/>
          <c:order val="1"/>
          <c:tx>
            <c:strRef>
              <c:f>Working!C14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Working!$A$15:$A$17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Working!$C$15:$C$17</c:f>
              <c:numCache>
                <c:formatCode>#,##0</c:formatCode>
                <c:ptCount val="3"/>
                <c:pt idx="0">
                  <c:v>-15860.03</c:v>
                </c:pt>
                <c:pt idx="1">
                  <c:v>2421.93</c:v>
                </c:pt>
                <c:pt idx="2">
                  <c:v>30957.85</c:v>
                </c:pt>
              </c:numCache>
            </c:numRef>
          </c:val>
        </c:ser>
        <c:gapWidth val="150"/>
        <c:overlap val="0"/>
        <c:axId val="70264632"/>
        <c:axId val="51353609"/>
      </c:barChart>
      <c:catAx>
        <c:axId val="70264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53609"/>
        <c:crosses val="autoZero"/>
        <c:auto val="1"/>
        <c:lblAlgn val="ctr"/>
        <c:lblOffset val="100"/>
        <c:noMultiLvlLbl val="0"/>
      </c:catAx>
      <c:valAx>
        <c:axId val="51353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64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Working!B21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Working!$A$22:$A$25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Working!$B$22:$B$25</c:f>
              <c:numCache>
                <c:formatCode>#,##0</c:formatCode>
                <c:ptCount val="4"/>
                <c:pt idx="0">
                  <c:v>125751.78</c:v>
                </c:pt>
                <c:pt idx="1">
                  <c:v>122966.83</c:v>
                </c:pt>
                <c:pt idx="2">
                  <c:v>76209.37</c:v>
                </c:pt>
                <c:pt idx="3">
                  <c:v>81708.66</c:v>
                </c:pt>
              </c:numCache>
            </c:numRef>
          </c:val>
        </c:ser>
        <c:gapWidth val="150"/>
        <c:overlap val="0"/>
        <c:axId val="69156635"/>
        <c:axId val="99400166"/>
      </c:barChart>
      <c:catAx>
        <c:axId val="69156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00166"/>
        <c:crosses val="autoZero"/>
        <c:auto val="1"/>
        <c:lblAlgn val="ctr"/>
        <c:lblOffset val="100"/>
        <c:noMultiLvlLbl val="0"/>
      </c:catAx>
      <c:valAx>
        <c:axId val="99400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56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Working!B36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Working!$A$37:$A$48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Working!$B$37:$B$48</c:f>
              <c:numCache>
                <c:formatCode>#,##0</c:formatCode>
                <c:ptCount val="12"/>
                <c:pt idx="0">
                  <c:v>24634.17</c:v>
                </c:pt>
                <c:pt idx="1">
                  <c:v>24471.73</c:v>
                </c:pt>
                <c:pt idx="2">
                  <c:v>47503.52</c:v>
                </c:pt>
                <c:pt idx="3">
                  <c:v>22900.52</c:v>
                </c:pt>
                <c:pt idx="4">
                  <c:v>40829.01</c:v>
                </c:pt>
                <c:pt idx="5">
                  <c:v>23750.75</c:v>
                </c:pt>
                <c:pt idx="6">
                  <c:v>31079.9</c:v>
                </c:pt>
                <c:pt idx="7">
                  <c:v>24733.3</c:v>
                </c:pt>
                <c:pt idx="8">
                  <c:v>34010.48</c:v>
                </c:pt>
                <c:pt idx="9">
                  <c:v>27513.9</c:v>
                </c:pt>
                <c:pt idx="10">
                  <c:v>54990.66</c:v>
                </c:pt>
                <c:pt idx="11">
                  <c:v>50218.7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77217"/>
        <c:axId val="69513511"/>
      </c:lineChart>
      <c:catAx>
        <c:axId val="96377217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13511"/>
        <c:crosses val="autoZero"/>
        <c:auto val="1"/>
        <c:lblAlgn val="ctr"/>
        <c:lblOffset val="100"/>
        <c:noMultiLvlLbl val="0"/>
      </c:catAx>
      <c:valAx>
        <c:axId val="69513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772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100800</xdr:rowOff>
    </xdr:from>
    <xdr:to>
      <xdr:col>3</xdr:col>
      <xdr:colOff>27360</xdr:colOff>
      <xdr:row>20</xdr:row>
      <xdr:rowOff>133200</xdr:rowOff>
    </xdr:to>
    <xdr:graphicFrame>
      <xdr:nvGraphicFramePr>
        <xdr:cNvPr id="0" name="Chart 1"/>
        <xdr:cNvGraphicFramePr/>
      </xdr:nvGraphicFramePr>
      <xdr:xfrm>
        <a:off x="0" y="132948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6</xdr:row>
      <xdr:rowOff>100800</xdr:rowOff>
    </xdr:from>
    <xdr:to>
      <xdr:col>6</xdr:col>
      <xdr:colOff>27000</xdr:colOff>
      <xdr:row>20</xdr:row>
      <xdr:rowOff>133200</xdr:rowOff>
    </xdr:to>
    <xdr:graphicFrame>
      <xdr:nvGraphicFramePr>
        <xdr:cNvPr id="1" name="Chart 2"/>
        <xdr:cNvGraphicFramePr/>
      </xdr:nvGraphicFramePr>
      <xdr:xfrm>
        <a:off x="4651920" y="132948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101160</xdr:rowOff>
    </xdr:from>
    <xdr:to>
      <xdr:col>6</xdr:col>
      <xdr:colOff>55080</xdr:colOff>
      <xdr:row>36</xdr:row>
      <xdr:rowOff>133200</xdr:rowOff>
    </xdr:to>
    <xdr:graphicFrame>
      <xdr:nvGraphicFramePr>
        <xdr:cNvPr id="2" name="Chart 3"/>
        <xdr:cNvGraphicFramePr/>
      </xdr:nvGraphicFramePr>
      <xdr:xfrm>
        <a:off x="0" y="4377960"/>
        <a:ext cx="935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7.25" hidden="false" customHeight="true" outlineLevel="0" collapsed="false">
      <c r="A5" s="5" t="n">
        <f aca="false">Working!B5</f>
        <v>406636.64</v>
      </c>
      <c r="B5" s="5" t="n">
        <f aca="false">Working!B6</f>
        <v>17519.75</v>
      </c>
      <c r="C5" s="6" t="n">
        <f aca="false">Working!B7</f>
        <v>0.0430845336514683</v>
      </c>
      <c r="D5" s="5" t="n">
        <f aca="false">Working!B8</f>
        <v>600</v>
      </c>
      <c r="E5" s="7" t="n">
        <f aca="false">Working!B9</f>
        <v>677.727733333333</v>
      </c>
    </row>
    <row r="40" customFormat="false" ht="15" hidden="false" customHeight="false" outlineLevel="0" collapsed="false">
      <c r="A40" s="8" t="s">
        <v>7</v>
      </c>
    </row>
    <row r="41" customFormat="false" ht="15" hidden="false" customHeight="true" outlineLevel="0" collapsed="false">
      <c r="A41" s="9" t="s">
        <v>8</v>
      </c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50" customFormat="false" ht="15" hidden="false" customHeight="false" outlineLevel="0" collapsed="false">
      <c r="A50" s="10" t="s">
        <v>9</v>
      </c>
    </row>
  </sheetData>
  <mergeCells count="1">
    <mergeCell ref="A41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26.25" hidden="false" customHeight="true" outlineLevel="0" collapsed="false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</row>
    <row r="2" customFormat="false" ht="15" hidden="false" customHeight="true" outlineLevel="0" collapsed="false">
      <c r="A2" s="12" t="s">
        <v>20</v>
      </c>
      <c r="B2" s="13" t="n">
        <v>45660</v>
      </c>
      <c r="C2" s="12" t="s">
        <v>21</v>
      </c>
      <c r="D2" s="12" t="s">
        <v>22</v>
      </c>
      <c r="E2" s="12" t="s">
        <v>23</v>
      </c>
      <c r="F2" s="12" t="s">
        <v>24</v>
      </c>
      <c r="G2" s="12" t="n">
        <v>6</v>
      </c>
      <c r="H2" s="14" t="n">
        <v>281.64</v>
      </c>
      <c r="I2" s="15" t="n">
        <v>0.2</v>
      </c>
      <c r="J2" s="14" t="n">
        <v>-17.91</v>
      </c>
    </row>
    <row r="3" customFormat="false" ht="15" hidden="false" customHeight="true" outlineLevel="0" collapsed="false">
      <c r="A3" s="12" t="s">
        <v>25</v>
      </c>
      <c r="B3" s="13" t="n">
        <v>45661</v>
      </c>
      <c r="C3" s="12" t="s">
        <v>26</v>
      </c>
      <c r="D3" s="12" t="s">
        <v>27</v>
      </c>
      <c r="E3" s="12" t="s">
        <v>28</v>
      </c>
      <c r="F3" s="12" t="s">
        <v>29</v>
      </c>
      <c r="G3" s="12" t="n">
        <v>5</v>
      </c>
      <c r="H3" s="14" t="n">
        <v>1390.77</v>
      </c>
      <c r="I3" s="15" t="n">
        <v>0.1</v>
      </c>
      <c r="J3" s="14" t="n">
        <v>-82.67</v>
      </c>
    </row>
    <row r="4" customFormat="false" ht="15" hidden="false" customHeight="true" outlineLevel="0" collapsed="false">
      <c r="A4" s="12" t="s">
        <v>30</v>
      </c>
      <c r="B4" s="13" t="n">
        <v>45661</v>
      </c>
      <c r="C4" s="12" t="s">
        <v>26</v>
      </c>
      <c r="D4" s="12" t="s">
        <v>31</v>
      </c>
      <c r="E4" s="12" t="s">
        <v>32</v>
      </c>
      <c r="F4" s="12" t="s">
        <v>24</v>
      </c>
      <c r="G4" s="12" t="n">
        <v>3</v>
      </c>
      <c r="H4" s="14" t="n">
        <v>1148.92</v>
      </c>
      <c r="I4" s="15" t="n">
        <v>0</v>
      </c>
      <c r="J4" s="14" t="n">
        <v>144.7</v>
      </c>
    </row>
    <row r="5" customFormat="false" ht="15" hidden="false" customHeight="true" outlineLevel="0" collapsed="false">
      <c r="A5" s="12" t="s">
        <v>33</v>
      </c>
      <c r="B5" s="13" t="n">
        <v>45663</v>
      </c>
      <c r="C5" s="12" t="s">
        <v>34</v>
      </c>
      <c r="D5" s="12" t="s">
        <v>31</v>
      </c>
      <c r="E5" s="12" t="s">
        <v>32</v>
      </c>
      <c r="F5" s="12" t="s">
        <v>35</v>
      </c>
      <c r="G5" s="12" t="n">
        <v>7</v>
      </c>
      <c r="H5" s="14" t="n">
        <v>3916.41</v>
      </c>
      <c r="I5" s="15" t="n">
        <v>0.1</v>
      </c>
      <c r="J5" s="14" t="n">
        <v>727.55</v>
      </c>
    </row>
    <row r="6" customFormat="false" ht="15" hidden="false" customHeight="true" outlineLevel="0" collapsed="false">
      <c r="A6" s="12" t="s">
        <v>36</v>
      </c>
      <c r="B6" s="13" t="n">
        <v>45663</v>
      </c>
      <c r="C6" s="12" t="s">
        <v>34</v>
      </c>
      <c r="D6" s="12" t="s">
        <v>31</v>
      </c>
      <c r="E6" s="12" t="s">
        <v>37</v>
      </c>
      <c r="F6" s="12" t="s">
        <v>35</v>
      </c>
      <c r="G6" s="12" t="n">
        <v>1</v>
      </c>
      <c r="H6" s="14" t="n">
        <v>541.38</v>
      </c>
      <c r="I6" s="15" t="n">
        <v>0.1</v>
      </c>
      <c r="J6" s="14" t="n">
        <v>98.75</v>
      </c>
    </row>
    <row r="7" customFormat="false" ht="15" hidden="false" customHeight="true" outlineLevel="0" collapsed="false">
      <c r="A7" s="12" t="s">
        <v>38</v>
      </c>
      <c r="B7" s="13" t="n">
        <v>45664</v>
      </c>
      <c r="C7" s="12" t="s">
        <v>39</v>
      </c>
      <c r="D7" s="12" t="s">
        <v>22</v>
      </c>
      <c r="E7" s="12" t="s">
        <v>23</v>
      </c>
      <c r="F7" s="12" t="s">
        <v>29</v>
      </c>
      <c r="G7" s="12" t="n">
        <v>7</v>
      </c>
      <c r="H7" s="14" t="n">
        <v>278.19</v>
      </c>
      <c r="I7" s="15" t="n">
        <v>0.2</v>
      </c>
      <c r="J7" s="14" t="n">
        <v>3.43</v>
      </c>
    </row>
    <row r="8" customFormat="false" ht="15" hidden="false" customHeight="true" outlineLevel="0" collapsed="false">
      <c r="A8" s="12" t="s">
        <v>40</v>
      </c>
      <c r="B8" s="13" t="n">
        <v>45665</v>
      </c>
      <c r="C8" s="12" t="s">
        <v>26</v>
      </c>
      <c r="D8" s="12" t="s">
        <v>31</v>
      </c>
      <c r="E8" s="12" t="s">
        <v>41</v>
      </c>
      <c r="F8" s="12" t="s">
        <v>29</v>
      </c>
      <c r="G8" s="12" t="n">
        <v>6</v>
      </c>
      <c r="H8" s="14" t="n">
        <v>2043.93</v>
      </c>
      <c r="I8" s="15" t="n">
        <v>0</v>
      </c>
      <c r="J8" s="14" t="n">
        <v>343.31</v>
      </c>
    </row>
    <row r="9" customFormat="false" ht="15" hidden="false" customHeight="true" outlineLevel="0" collapsed="false">
      <c r="A9" s="12" t="s">
        <v>42</v>
      </c>
      <c r="B9" s="13" t="n">
        <v>45666</v>
      </c>
      <c r="C9" s="12" t="s">
        <v>34</v>
      </c>
      <c r="D9" s="12" t="s">
        <v>27</v>
      </c>
      <c r="E9" s="12" t="s">
        <v>43</v>
      </c>
      <c r="F9" s="12" t="s">
        <v>24</v>
      </c>
      <c r="G9" s="12" t="n">
        <v>4</v>
      </c>
      <c r="H9" s="14" t="n">
        <v>999.67</v>
      </c>
      <c r="I9" s="15" t="n">
        <v>0</v>
      </c>
      <c r="J9" s="14" t="n">
        <v>-10.58</v>
      </c>
    </row>
    <row r="10" customFormat="false" ht="15" hidden="false" customHeight="true" outlineLevel="0" collapsed="false">
      <c r="A10" s="12" t="s">
        <v>44</v>
      </c>
      <c r="B10" s="13" t="n">
        <v>45668</v>
      </c>
      <c r="C10" s="12" t="s">
        <v>21</v>
      </c>
      <c r="D10" s="12" t="s">
        <v>22</v>
      </c>
      <c r="E10" s="12" t="s">
        <v>45</v>
      </c>
      <c r="F10" s="12" t="s">
        <v>29</v>
      </c>
      <c r="G10" s="12" t="n">
        <v>2</v>
      </c>
      <c r="H10" s="14" t="n">
        <v>65.66</v>
      </c>
      <c r="I10" s="15" t="n">
        <v>0.4</v>
      </c>
      <c r="J10" s="14" t="n">
        <v>-18.83</v>
      </c>
    </row>
    <row r="11" customFormat="false" ht="15" hidden="false" customHeight="true" outlineLevel="0" collapsed="false">
      <c r="A11" s="12" t="s">
        <v>46</v>
      </c>
      <c r="B11" s="13" t="n">
        <v>45668</v>
      </c>
      <c r="C11" s="12" t="s">
        <v>39</v>
      </c>
      <c r="D11" s="12" t="s">
        <v>22</v>
      </c>
      <c r="E11" s="12" t="s">
        <v>45</v>
      </c>
      <c r="F11" s="12" t="s">
        <v>35</v>
      </c>
      <c r="G11" s="12" t="n">
        <v>7</v>
      </c>
      <c r="H11" s="14" t="n">
        <v>189.37</v>
      </c>
      <c r="I11" s="15" t="n">
        <v>0</v>
      </c>
      <c r="J11" s="14" t="n">
        <v>37.16</v>
      </c>
    </row>
    <row r="12" customFormat="false" ht="15" hidden="false" customHeight="true" outlineLevel="0" collapsed="false">
      <c r="A12" s="12" t="s">
        <v>47</v>
      </c>
      <c r="B12" s="13" t="n">
        <v>45669</v>
      </c>
      <c r="C12" s="12" t="s">
        <v>21</v>
      </c>
      <c r="D12" s="12" t="s">
        <v>22</v>
      </c>
      <c r="E12" s="12" t="s">
        <v>48</v>
      </c>
      <c r="F12" s="12" t="s">
        <v>29</v>
      </c>
      <c r="G12" s="12" t="n">
        <v>6</v>
      </c>
      <c r="H12" s="14" t="n">
        <v>208.9</v>
      </c>
      <c r="I12" s="15" t="n">
        <v>0.1</v>
      </c>
      <c r="J12" s="14" t="n">
        <v>23.14</v>
      </c>
    </row>
    <row r="13" customFormat="false" ht="15" hidden="false" customHeight="true" outlineLevel="0" collapsed="false">
      <c r="A13" s="12" t="s">
        <v>49</v>
      </c>
      <c r="B13" s="13" t="n">
        <v>45669</v>
      </c>
      <c r="C13" s="12" t="s">
        <v>26</v>
      </c>
      <c r="D13" s="12" t="s">
        <v>31</v>
      </c>
      <c r="E13" s="12" t="s">
        <v>32</v>
      </c>
      <c r="F13" s="12" t="s">
        <v>24</v>
      </c>
      <c r="G13" s="12" t="n">
        <v>1</v>
      </c>
      <c r="H13" s="14" t="n">
        <v>597.98</v>
      </c>
      <c r="I13" s="15" t="n">
        <v>0</v>
      </c>
      <c r="J13" s="14" t="n">
        <v>168.86</v>
      </c>
    </row>
    <row r="14" customFormat="false" ht="15" hidden="false" customHeight="true" outlineLevel="0" collapsed="false">
      <c r="A14" s="12" t="s">
        <v>50</v>
      </c>
      <c r="B14" s="13" t="n">
        <v>45670</v>
      </c>
      <c r="C14" s="12" t="s">
        <v>39</v>
      </c>
      <c r="D14" s="12" t="s">
        <v>27</v>
      </c>
      <c r="E14" s="12" t="s">
        <v>51</v>
      </c>
      <c r="F14" s="12" t="s">
        <v>29</v>
      </c>
      <c r="G14" s="12" t="n">
        <v>3</v>
      </c>
      <c r="H14" s="14" t="n">
        <v>480.4</v>
      </c>
      <c r="I14" s="15" t="n">
        <v>0</v>
      </c>
      <c r="J14" s="14" t="n">
        <v>-5.35</v>
      </c>
    </row>
    <row r="15" customFormat="false" ht="15" hidden="false" customHeight="true" outlineLevel="0" collapsed="false">
      <c r="A15" s="12" t="s">
        <v>52</v>
      </c>
      <c r="B15" s="13" t="n">
        <v>45670</v>
      </c>
      <c r="C15" s="12" t="s">
        <v>34</v>
      </c>
      <c r="D15" s="12" t="s">
        <v>22</v>
      </c>
      <c r="E15" s="12" t="s">
        <v>48</v>
      </c>
      <c r="F15" s="12" t="s">
        <v>35</v>
      </c>
      <c r="G15" s="12" t="n">
        <v>7</v>
      </c>
      <c r="H15" s="14" t="n">
        <v>213.01</v>
      </c>
      <c r="I15" s="15" t="n">
        <v>0.3</v>
      </c>
      <c r="J15" s="14" t="n">
        <v>-18.56</v>
      </c>
    </row>
    <row r="16" customFormat="false" ht="15" hidden="false" customHeight="true" outlineLevel="0" collapsed="false">
      <c r="A16" s="12" t="s">
        <v>53</v>
      </c>
      <c r="B16" s="13" t="n">
        <v>45672</v>
      </c>
      <c r="C16" s="12" t="s">
        <v>34</v>
      </c>
      <c r="D16" s="12" t="s">
        <v>31</v>
      </c>
      <c r="E16" s="12" t="s">
        <v>37</v>
      </c>
      <c r="F16" s="12" t="s">
        <v>35</v>
      </c>
      <c r="G16" s="12" t="n">
        <v>2</v>
      </c>
      <c r="H16" s="14" t="n">
        <v>542.6</v>
      </c>
      <c r="I16" s="15" t="n">
        <v>0.4</v>
      </c>
      <c r="J16" s="14" t="n">
        <v>-38.39</v>
      </c>
    </row>
    <row r="17" customFormat="false" ht="15" hidden="false" customHeight="true" outlineLevel="0" collapsed="false">
      <c r="A17" s="12" t="s">
        <v>54</v>
      </c>
      <c r="B17" s="13" t="n">
        <v>45673</v>
      </c>
      <c r="C17" s="12" t="s">
        <v>39</v>
      </c>
      <c r="D17" s="12" t="s">
        <v>22</v>
      </c>
      <c r="E17" s="12" t="s">
        <v>23</v>
      </c>
      <c r="F17" s="12" t="s">
        <v>29</v>
      </c>
      <c r="G17" s="12" t="n">
        <v>3</v>
      </c>
      <c r="H17" s="14" t="n">
        <v>88.79</v>
      </c>
      <c r="I17" s="15" t="n">
        <v>0</v>
      </c>
      <c r="J17" s="14" t="n">
        <v>25.67</v>
      </c>
    </row>
    <row r="18" customFormat="false" ht="15" hidden="false" customHeight="true" outlineLevel="0" collapsed="false">
      <c r="A18" s="12" t="s">
        <v>55</v>
      </c>
      <c r="B18" s="13" t="n">
        <v>45675</v>
      </c>
      <c r="C18" s="12" t="s">
        <v>26</v>
      </c>
      <c r="D18" s="12" t="s">
        <v>22</v>
      </c>
      <c r="E18" s="12" t="s">
        <v>45</v>
      </c>
      <c r="F18" s="12" t="s">
        <v>29</v>
      </c>
      <c r="G18" s="12" t="n">
        <v>6</v>
      </c>
      <c r="H18" s="14" t="n">
        <v>148.12</v>
      </c>
      <c r="I18" s="15" t="n">
        <v>0.4</v>
      </c>
      <c r="J18" s="14" t="n">
        <v>-36.45</v>
      </c>
    </row>
    <row r="19" customFormat="false" ht="15" hidden="false" customHeight="true" outlineLevel="0" collapsed="false">
      <c r="A19" s="12" t="s">
        <v>56</v>
      </c>
      <c r="B19" s="13" t="n">
        <v>45675</v>
      </c>
      <c r="C19" s="12" t="s">
        <v>21</v>
      </c>
      <c r="D19" s="12" t="s">
        <v>31</v>
      </c>
      <c r="E19" s="12" t="s">
        <v>41</v>
      </c>
      <c r="F19" s="12" t="s">
        <v>24</v>
      </c>
      <c r="G19" s="12" t="n">
        <v>4</v>
      </c>
      <c r="H19" s="14" t="n">
        <v>1858</v>
      </c>
      <c r="I19" s="15" t="n">
        <v>0</v>
      </c>
      <c r="J19" s="14" t="n">
        <v>547.96</v>
      </c>
    </row>
    <row r="20" customFormat="false" ht="15" hidden="false" customHeight="true" outlineLevel="0" collapsed="false">
      <c r="A20" s="12" t="s">
        <v>57</v>
      </c>
      <c r="B20" s="13" t="n">
        <v>45676</v>
      </c>
      <c r="C20" s="12" t="s">
        <v>34</v>
      </c>
      <c r="D20" s="12" t="s">
        <v>22</v>
      </c>
      <c r="E20" s="12" t="s">
        <v>45</v>
      </c>
      <c r="F20" s="12" t="s">
        <v>29</v>
      </c>
      <c r="G20" s="12" t="n">
        <v>7</v>
      </c>
      <c r="H20" s="14" t="n">
        <v>106.22</v>
      </c>
      <c r="I20" s="15" t="n">
        <v>0.4</v>
      </c>
      <c r="J20" s="14" t="n">
        <v>-21.39</v>
      </c>
    </row>
    <row r="21" customFormat="false" ht="15" hidden="false" customHeight="true" outlineLevel="0" collapsed="false">
      <c r="A21" s="12" t="s">
        <v>58</v>
      </c>
      <c r="B21" s="13" t="n">
        <v>45677</v>
      </c>
      <c r="C21" s="12" t="s">
        <v>39</v>
      </c>
      <c r="D21" s="12" t="s">
        <v>27</v>
      </c>
      <c r="E21" s="12" t="s">
        <v>28</v>
      </c>
      <c r="F21" s="12" t="s">
        <v>29</v>
      </c>
      <c r="G21" s="12" t="n">
        <v>7</v>
      </c>
      <c r="H21" s="14" t="n">
        <v>1743.62</v>
      </c>
      <c r="I21" s="15" t="n">
        <v>0.1</v>
      </c>
      <c r="J21" s="14" t="n">
        <v>-94.77</v>
      </c>
    </row>
    <row r="22" customFormat="false" ht="15" hidden="false" customHeight="true" outlineLevel="0" collapsed="false">
      <c r="A22" s="12" t="s">
        <v>59</v>
      </c>
      <c r="B22" s="13" t="n">
        <v>45678</v>
      </c>
      <c r="C22" s="12" t="s">
        <v>34</v>
      </c>
      <c r="D22" s="12" t="s">
        <v>27</v>
      </c>
      <c r="E22" s="12" t="s">
        <v>28</v>
      </c>
      <c r="F22" s="12" t="s">
        <v>29</v>
      </c>
      <c r="G22" s="12" t="n">
        <v>1</v>
      </c>
      <c r="H22" s="14" t="n">
        <v>287.44</v>
      </c>
      <c r="I22" s="15" t="n">
        <v>0.1</v>
      </c>
      <c r="J22" s="14" t="n">
        <v>-14.97</v>
      </c>
    </row>
    <row r="23" customFormat="false" ht="15" hidden="false" customHeight="true" outlineLevel="0" collapsed="false">
      <c r="A23" s="12" t="s">
        <v>60</v>
      </c>
      <c r="B23" s="13" t="n">
        <v>45678</v>
      </c>
      <c r="C23" s="12" t="s">
        <v>34</v>
      </c>
      <c r="D23" s="12" t="s">
        <v>22</v>
      </c>
      <c r="E23" s="12" t="s">
        <v>45</v>
      </c>
      <c r="F23" s="12" t="s">
        <v>29</v>
      </c>
      <c r="G23" s="12" t="n">
        <v>3</v>
      </c>
      <c r="H23" s="14" t="n">
        <v>165.18</v>
      </c>
      <c r="I23" s="15" t="n">
        <v>0</v>
      </c>
      <c r="J23" s="14" t="n">
        <v>32.94</v>
      </c>
    </row>
    <row r="24" customFormat="false" ht="15" hidden="false" customHeight="true" outlineLevel="0" collapsed="false">
      <c r="A24" s="12" t="s">
        <v>61</v>
      </c>
      <c r="B24" s="13" t="n">
        <v>45679</v>
      </c>
      <c r="C24" s="12" t="s">
        <v>34</v>
      </c>
      <c r="D24" s="12" t="s">
        <v>22</v>
      </c>
      <c r="E24" s="12" t="s">
        <v>45</v>
      </c>
      <c r="F24" s="12" t="s">
        <v>29</v>
      </c>
      <c r="G24" s="12" t="n">
        <v>4</v>
      </c>
      <c r="H24" s="14" t="n">
        <v>187.56</v>
      </c>
      <c r="I24" s="15" t="n">
        <v>0.1</v>
      </c>
      <c r="J24" s="14" t="n">
        <v>19.73</v>
      </c>
    </row>
    <row r="25" customFormat="false" ht="15" hidden="false" customHeight="true" outlineLevel="0" collapsed="false">
      <c r="A25" s="12" t="s">
        <v>62</v>
      </c>
      <c r="B25" s="13" t="n">
        <v>45679</v>
      </c>
      <c r="C25" s="12" t="s">
        <v>39</v>
      </c>
      <c r="D25" s="12" t="s">
        <v>22</v>
      </c>
      <c r="E25" s="12" t="s">
        <v>23</v>
      </c>
      <c r="F25" s="12" t="s">
        <v>29</v>
      </c>
      <c r="G25" s="12" t="n">
        <v>7</v>
      </c>
      <c r="H25" s="14" t="n">
        <v>180.42</v>
      </c>
      <c r="I25" s="15" t="n">
        <v>0.2</v>
      </c>
      <c r="J25" s="14" t="n">
        <v>0.75</v>
      </c>
    </row>
    <row r="26" customFormat="false" ht="15" hidden="false" customHeight="true" outlineLevel="0" collapsed="false">
      <c r="A26" s="12" t="s">
        <v>63</v>
      </c>
      <c r="B26" s="13" t="n">
        <v>45679</v>
      </c>
      <c r="C26" s="12" t="s">
        <v>34</v>
      </c>
      <c r="D26" s="12" t="s">
        <v>31</v>
      </c>
      <c r="E26" s="12" t="s">
        <v>37</v>
      </c>
      <c r="F26" s="12" t="s">
        <v>24</v>
      </c>
      <c r="G26" s="12" t="n">
        <v>1</v>
      </c>
      <c r="H26" s="14" t="n">
        <v>247.1</v>
      </c>
      <c r="I26" s="15" t="n">
        <v>0.2</v>
      </c>
      <c r="J26" s="14" t="n">
        <v>14.98</v>
      </c>
    </row>
    <row r="27" customFormat="false" ht="15" hidden="false" customHeight="true" outlineLevel="0" collapsed="false">
      <c r="A27" s="12" t="s">
        <v>64</v>
      </c>
      <c r="B27" s="13" t="n">
        <v>45679</v>
      </c>
      <c r="C27" s="12" t="s">
        <v>39</v>
      </c>
      <c r="D27" s="12" t="s">
        <v>31</v>
      </c>
      <c r="E27" s="12" t="s">
        <v>32</v>
      </c>
      <c r="F27" s="12" t="s">
        <v>29</v>
      </c>
      <c r="G27" s="12" t="n">
        <v>6</v>
      </c>
      <c r="H27" s="14" t="n">
        <v>1762.91</v>
      </c>
      <c r="I27" s="15" t="n">
        <v>0</v>
      </c>
      <c r="J27" s="14" t="n">
        <v>189.75</v>
      </c>
    </row>
    <row r="28" customFormat="false" ht="15" hidden="false" customHeight="true" outlineLevel="0" collapsed="false">
      <c r="A28" s="12" t="s">
        <v>65</v>
      </c>
      <c r="B28" s="13" t="n">
        <v>45681</v>
      </c>
      <c r="C28" s="12" t="s">
        <v>34</v>
      </c>
      <c r="D28" s="12" t="s">
        <v>27</v>
      </c>
      <c r="E28" s="12" t="s">
        <v>51</v>
      </c>
      <c r="F28" s="12" t="s">
        <v>35</v>
      </c>
      <c r="G28" s="12" t="n">
        <v>4</v>
      </c>
      <c r="H28" s="14" t="n">
        <v>628.44</v>
      </c>
      <c r="I28" s="15" t="n">
        <v>0</v>
      </c>
      <c r="J28" s="14" t="n">
        <v>62.77</v>
      </c>
    </row>
    <row r="29" customFormat="false" ht="15" hidden="false" customHeight="true" outlineLevel="0" collapsed="false">
      <c r="A29" s="12" t="s">
        <v>66</v>
      </c>
      <c r="B29" s="13" t="n">
        <v>45683</v>
      </c>
      <c r="C29" s="12" t="s">
        <v>26</v>
      </c>
      <c r="D29" s="12" t="s">
        <v>27</v>
      </c>
      <c r="E29" s="12" t="s">
        <v>28</v>
      </c>
      <c r="F29" s="12" t="s">
        <v>35</v>
      </c>
      <c r="G29" s="12" t="n">
        <v>3</v>
      </c>
      <c r="H29" s="14" t="n">
        <v>1112.99</v>
      </c>
      <c r="I29" s="15" t="n">
        <v>0</v>
      </c>
      <c r="J29" s="14" t="n">
        <v>-112.14</v>
      </c>
    </row>
    <row r="30" customFormat="false" ht="15" hidden="false" customHeight="true" outlineLevel="0" collapsed="false">
      <c r="A30" s="12" t="s">
        <v>67</v>
      </c>
      <c r="B30" s="13" t="n">
        <v>45683</v>
      </c>
      <c r="C30" s="12" t="s">
        <v>34</v>
      </c>
      <c r="D30" s="12" t="s">
        <v>22</v>
      </c>
      <c r="E30" s="12" t="s">
        <v>23</v>
      </c>
      <c r="F30" s="12" t="s">
        <v>35</v>
      </c>
      <c r="G30" s="12" t="n">
        <v>7</v>
      </c>
      <c r="H30" s="14" t="n">
        <v>223.41</v>
      </c>
      <c r="I30" s="15" t="n">
        <v>0.1</v>
      </c>
      <c r="J30" s="14" t="n">
        <v>29.52</v>
      </c>
    </row>
    <row r="31" customFormat="false" ht="15" hidden="false" customHeight="true" outlineLevel="0" collapsed="false">
      <c r="A31" s="12" t="s">
        <v>68</v>
      </c>
      <c r="B31" s="13" t="n">
        <v>45684</v>
      </c>
      <c r="C31" s="12" t="s">
        <v>34</v>
      </c>
      <c r="D31" s="12" t="s">
        <v>27</v>
      </c>
      <c r="E31" s="12" t="s">
        <v>28</v>
      </c>
      <c r="F31" s="12" t="s">
        <v>29</v>
      </c>
      <c r="G31" s="12" t="n">
        <v>6</v>
      </c>
      <c r="H31" s="14" t="n">
        <v>977.89</v>
      </c>
      <c r="I31" s="15" t="n">
        <v>0</v>
      </c>
      <c r="J31" s="14" t="n">
        <v>-77.43</v>
      </c>
    </row>
    <row r="32" customFormat="false" ht="15" hidden="false" customHeight="true" outlineLevel="0" collapsed="false">
      <c r="A32" s="12" t="s">
        <v>69</v>
      </c>
      <c r="B32" s="13" t="n">
        <v>45684</v>
      </c>
      <c r="C32" s="12" t="s">
        <v>26</v>
      </c>
      <c r="D32" s="12" t="s">
        <v>27</v>
      </c>
      <c r="E32" s="12" t="s">
        <v>28</v>
      </c>
      <c r="F32" s="12" t="s">
        <v>24</v>
      </c>
      <c r="G32" s="12" t="n">
        <v>2</v>
      </c>
      <c r="H32" s="14" t="n">
        <v>460.36</v>
      </c>
      <c r="I32" s="15" t="n">
        <v>0.3</v>
      </c>
      <c r="J32" s="14" t="n">
        <v>-141.44</v>
      </c>
    </row>
    <row r="33" customFormat="false" ht="15" hidden="false" customHeight="true" outlineLevel="0" collapsed="false">
      <c r="A33" s="12" t="s">
        <v>70</v>
      </c>
      <c r="B33" s="13" t="n">
        <v>45684</v>
      </c>
      <c r="C33" s="12" t="s">
        <v>39</v>
      </c>
      <c r="D33" s="12" t="s">
        <v>22</v>
      </c>
      <c r="E33" s="12" t="s">
        <v>45</v>
      </c>
      <c r="F33" s="12" t="s">
        <v>29</v>
      </c>
      <c r="G33" s="12" t="n">
        <v>5</v>
      </c>
      <c r="H33" s="14" t="n">
        <v>120.9</v>
      </c>
      <c r="I33" s="15" t="n">
        <v>0.2</v>
      </c>
      <c r="J33" s="14" t="n">
        <v>-0.84</v>
      </c>
    </row>
    <row r="34" customFormat="false" ht="15" hidden="false" customHeight="true" outlineLevel="0" collapsed="false">
      <c r="A34" s="12" t="s">
        <v>71</v>
      </c>
      <c r="B34" s="13" t="n">
        <v>45685</v>
      </c>
      <c r="C34" s="12" t="s">
        <v>39</v>
      </c>
      <c r="D34" s="12" t="s">
        <v>31</v>
      </c>
      <c r="E34" s="12" t="s">
        <v>32</v>
      </c>
      <c r="F34" s="12" t="s">
        <v>35</v>
      </c>
      <c r="G34" s="12" t="n">
        <v>1</v>
      </c>
      <c r="H34" s="14" t="n">
        <v>472.99</v>
      </c>
      <c r="I34" s="15" t="n">
        <v>0</v>
      </c>
      <c r="J34" s="14" t="n">
        <v>109.94</v>
      </c>
    </row>
    <row r="35" customFormat="false" ht="15" hidden="false" customHeight="true" outlineLevel="0" collapsed="false">
      <c r="A35" s="12" t="s">
        <v>72</v>
      </c>
      <c r="B35" s="13" t="n">
        <v>45685</v>
      </c>
      <c r="C35" s="12" t="s">
        <v>34</v>
      </c>
      <c r="D35" s="12" t="s">
        <v>31</v>
      </c>
      <c r="E35" s="12" t="s">
        <v>32</v>
      </c>
      <c r="F35" s="12" t="s">
        <v>24</v>
      </c>
      <c r="G35" s="12" t="n">
        <v>2</v>
      </c>
      <c r="H35" s="14" t="n">
        <v>542.19</v>
      </c>
      <c r="I35" s="15" t="n">
        <v>0</v>
      </c>
      <c r="J35" s="14" t="n">
        <v>101.65</v>
      </c>
    </row>
    <row r="36" customFormat="false" ht="15" hidden="false" customHeight="true" outlineLevel="0" collapsed="false">
      <c r="A36" s="12" t="s">
        <v>73</v>
      </c>
      <c r="B36" s="13" t="n">
        <v>45686</v>
      </c>
      <c r="C36" s="12" t="s">
        <v>21</v>
      </c>
      <c r="D36" s="12" t="s">
        <v>22</v>
      </c>
      <c r="E36" s="12" t="s">
        <v>48</v>
      </c>
      <c r="F36" s="12" t="s">
        <v>29</v>
      </c>
      <c r="G36" s="12" t="n">
        <v>5</v>
      </c>
      <c r="H36" s="14" t="n">
        <v>227.23</v>
      </c>
      <c r="I36" s="15" t="n">
        <v>0</v>
      </c>
      <c r="J36" s="14" t="n">
        <v>50.28</v>
      </c>
    </row>
    <row r="37" customFormat="false" ht="15" hidden="false" customHeight="true" outlineLevel="0" collapsed="false">
      <c r="A37" s="12" t="s">
        <v>74</v>
      </c>
      <c r="B37" s="13" t="n">
        <v>45686</v>
      </c>
      <c r="C37" s="12" t="s">
        <v>26</v>
      </c>
      <c r="D37" s="12" t="s">
        <v>22</v>
      </c>
      <c r="E37" s="12" t="s">
        <v>45</v>
      </c>
      <c r="F37" s="12" t="s">
        <v>24</v>
      </c>
      <c r="G37" s="12" t="n">
        <v>4</v>
      </c>
      <c r="H37" s="14" t="n">
        <v>193.58</v>
      </c>
      <c r="I37" s="15" t="n">
        <v>0</v>
      </c>
      <c r="J37" s="14" t="n">
        <v>39.56</v>
      </c>
    </row>
    <row r="38" customFormat="false" ht="15" hidden="false" customHeight="true" outlineLevel="0" collapsed="false">
      <c r="A38" s="12" t="s">
        <v>75</v>
      </c>
      <c r="B38" s="13" t="n">
        <v>45689</v>
      </c>
      <c r="C38" s="12" t="s">
        <v>21</v>
      </c>
      <c r="D38" s="12" t="s">
        <v>22</v>
      </c>
      <c r="E38" s="12" t="s">
        <v>45</v>
      </c>
      <c r="F38" s="12" t="s">
        <v>29</v>
      </c>
      <c r="G38" s="12" t="n">
        <v>6</v>
      </c>
      <c r="H38" s="14" t="n">
        <v>153.09</v>
      </c>
      <c r="I38" s="15" t="n">
        <v>0.4</v>
      </c>
      <c r="J38" s="14" t="n">
        <v>-33.51</v>
      </c>
    </row>
    <row r="39" customFormat="false" ht="15" hidden="false" customHeight="true" outlineLevel="0" collapsed="false">
      <c r="A39" s="12" t="s">
        <v>76</v>
      </c>
      <c r="B39" s="13" t="n">
        <v>45690</v>
      </c>
      <c r="C39" s="12" t="s">
        <v>34</v>
      </c>
      <c r="D39" s="12" t="s">
        <v>22</v>
      </c>
      <c r="E39" s="12" t="s">
        <v>45</v>
      </c>
      <c r="F39" s="12" t="s">
        <v>29</v>
      </c>
      <c r="G39" s="12" t="n">
        <v>6</v>
      </c>
      <c r="H39" s="14" t="n">
        <v>137.59</v>
      </c>
      <c r="I39" s="15" t="n">
        <v>0.4</v>
      </c>
      <c r="J39" s="14" t="n">
        <v>-20.34</v>
      </c>
    </row>
    <row r="40" customFormat="false" ht="15" hidden="false" customHeight="true" outlineLevel="0" collapsed="false">
      <c r="A40" s="12" t="s">
        <v>77</v>
      </c>
      <c r="B40" s="13" t="n">
        <v>45693</v>
      </c>
      <c r="C40" s="12" t="s">
        <v>39</v>
      </c>
      <c r="D40" s="12" t="s">
        <v>27</v>
      </c>
      <c r="E40" s="12" t="s">
        <v>43</v>
      </c>
      <c r="F40" s="12" t="s">
        <v>29</v>
      </c>
      <c r="G40" s="12" t="n">
        <v>7</v>
      </c>
      <c r="H40" s="14" t="n">
        <v>1499.41</v>
      </c>
      <c r="I40" s="15" t="n">
        <v>0.4</v>
      </c>
      <c r="J40" s="14" t="n">
        <v>-656.9</v>
      </c>
    </row>
    <row r="41" customFormat="false" ht="15" hidden="false" customHeight="true" outlineLevel="0" collapsed="false">
      <c r="A41" s="12" t="s">
        <v>78</v>
      </c>
      <c r="B41" s="13" t="n">
        <v>45697</v>
      </c>
      <c r="C41" s="12" t="s">
        <v>26</v>
      </c>
      <c r="D41" s="12" t="s">
        <v>22</v>
      </c>
      <c r="E41" s="12" t="s">
        <v>23</v>
      </c>
      <c r="F41" s="12" t="s">
        <v>35</v>
      </c>
      <c r="G41" s="12" t="n">
        <v>5</v>
      </c>
      <c r="H41" s="14" t="n">
        <v>213.06</v>
      </c>
      <c r="I41" s="15" t="n">
        <v>0</v>
      </c>
      <c r="J41" s="14" t="n">
        <v>42.76</v>
      </c>
    </row>
    <row r="42" customFormat="false" ht="15" hidden="false" customHeight="true" outlineLevel="0" collapsed="false">
      <c r="A42" s="12" t="s">
        <v>79</v>
      </c>
      <c r="B42" s="13" t="n">
        <v>45698</v>
      </c>
      <c r="C42" s="12" t="s">
        <v>34</v>
      </c>
      <c r="D42" s="12" t="s">
        <v>22</v>
      </c>
      <c r="E42" s="12" t="s">
        <v>48</v>
      </c>
      <c r="F42" s="12" t="s">
        <v>29</v>
      </c>
      <c r="G42" s="12" t="n">
        <v>6</v>
      </c>
      <c r="H42" s="14" t="n">
        <v>271.41</v>
      </c>
      <c r="I42" s="15" t="n">
        <v>0.2</v>
      </c>
      <c r="J42" s="14" t="n">
        <v>-6.71</v>
      </c>
    </row>
    <row r="43" customFormat="false" ht="15" hidden="false" customHeight="true" outlineLevel="0" collapsed="false">
      <c r="A43" s="12" t="s">
        <v>80</v>
      </c>
      <c r="B43" s="13" t="n">
        <v>45698</v>
      </c>
      <c r="C43" s="12" t="s">
        <v>39</v>
      </c>
      <c r="D43" s="12" t="s">
        <v>27</v>
      </c>
      <c r="E43" s="12" t="s">
        <v>28</v>
      </c>
      <c r="F43" s="12" t="s">
        <v>24</v>
      </c>
      <c r="G43" s="12" t="n">
        <v>4</v>
      </c>
      <c r="H43" s="14" t="n">
        <v>1540.55</v>
      </c>
      <c r="I43" s="15" t="n">
        <v>0</v>
      </c>
      <c r="J43" s="14" t="n">
        <v>-28.07</v>
      </c>
    </row>
    <row r="44" customFormat="false" ht="15" hidden="false" customHeight="true" outlineLevel="0" collapsed="false">
      <c r="A44" s="12" t="s">
        <v>81</v>
      </c>
      <c r="B44" s="13" t="n">
        <v>45699</v>
      </c>
      <c r="C44" s="12" t="s">
        <v>34</v>
      </c>
      <c r="D44" s="12" t="s">
        <v>22</v>
      </c>
      <c r="E44" s="12" t="s">
        <v>23</v>
      </c>
      <c r="F44" s="12" t="s">
        <v>29</v>
      </c>
      <c r="G44" s="12" t="n">
        <v>7</v>
      </c>
      <c r="H44" s="14" t="n">
        <v>289.26</v>
      </c>
      <c r="I44" s="15" t="n">
        <v>0.1</v>
      </c>
      <c r="J44" s="14" t="n">
        <v>21.59</v>
      </c>
    </row>
    <row r="45" customFormat="false" ht="15" hidden="false" customHeight="true" outlineLevel="0" collapsed="false">
      <c r="A45" s="12" t="s">
        <v>82</v>
      </c>
      <c r="B45" s="13" t="n">
        <v>45699</v>
      </c>
      <c r="C45" s="12" t="s">
        <v>21</v>
      </c>
      <c r="D45" s="12" t="s">
        <v>22</v>
      </c>
      <c r="E45" s="12" t="s">
        <v>48</v>
      </c>
      <c r="F45" s="12" t="s">
        <v>29</v>
      </c>
      <c r="G45" s="12" t="n">
        <v>1</v>
      </c>
      <c r="H45" s="14" t="n">
        <v>37.58</v>
      </c>
      <c r="I45" s="15" t="n">
        <v>0</v>
      </c>
      <c r="J45" s="14" t="n">
        <v>6.91</v>
      </c>
    </row>
    <row r="46" customFormat="false" ht="15" hidden="false" customHeight="true" outlineLevel="0" collapsed="false">
      <c r="A46" s="12" t="s">
        <v>83</v>
      </c>
      <c r="B46" s="13" t="n">
        <v>45700</v>
      </c>
      <c r="C46" s="12" t="s">
        <v>26</v>
      </c>
      <c r="D46" s="12" t="s">
        <v>27</v>
      </c>
      <c r="E46" s="12" t="s">
        <v>51</v>
      </c>
      <c r="F46" s="12" t="s">
        <v>29</v>
      </c>
      <c r="G46" s="12" t="n">
        <v>2</v>
      </c>
      <c r="H46" s="14" t="n">
        <v>531.22</v>
      </c>
      <c r="I46" s="15" t="n">
        <v>0.3</v>
      </c>
      <c r="J46" s="14" t="n">
        <v>-208.3</v>
      </c>
    </row>
    <row r="47" customFormat="false" ht="15" hidden="false" customHeight="true" outlineLevel="0" collapsed="false">
      <c r="A47" s="12" t="s">
        <v>84</v>
      </c>
      <c r="B47" s="13" t="n">
        <v>45700</v>
      </c>
      <c r="C47" s="12" t="s">
        <v>21</v>
      </c>
      <c r="D47" s="12" t="s">
        <v>31</v>
      </c>
      <c r="E47" s="12" t="s">
        <v>32</v>
      </c>
      <c r="F47" s="12" t="s">
        <v>29</v>
      </c>
      <c r="G47" s="12" t="n">
        <v>4</v>
      </c>
      <c r="H47" s="14" t="n">
        <v>1288.88</v>
      </c>
      <c r="I47" s="15" t="n">
        <v>0</v>
      </c>
      <c r="J47" s="14" t="n">
        <v>257.33</v>
      </c>
    </row>
    <row r="48" customFormat="false" ht="15" hidden="false" customHeight="true" outlineLevel="0" collapsed="false">
      <c r="A48" s="12" t="s">
        <v>85</v>
      </c>
      <c r="B48" s="13" t="n">
        <v>45701</v>
      </c>
      <c r="C48" s="12" t="s">
        <v>39</v>
      </c>
      <c r="D48" s="12" t="s">
        <v>22</v>
      </c>
      <c r="E48" s="12" t="s">
        <v>48</v>
      </c>
      <c r="F48" s="12" t="s">
        <v>29</v>
      </c>
      <c r="G48" s="12" t="n">
        <v>2</v>
      </c>
      <c r="H48" s="14" t="n">
        <v>117.07</v>
      </c>
      <c r="I48" s="15" t="n">
        <v>0</v>
      </c>
      <c r="J48" s="14" t="n">
        <v>8.83</v>
      </c>
    </row>
    <row r="49" customFormat="false" ht="15" hidden="false" customHeight="true" outlineLevel="0" collapsed="false">
      <c r="A49" s="12" t="s">
        <v>86</v>
      </c>
      <c r="B49" s="13" t="n">
        <v>45702</v>
      </c>
      <c r="C49" s="12" t="s">
        <v>39</v>
      </c>
      <c r="D49" s="12" t="s">
        <v>27</v>
      </c>
      <c r="E49" s="12" t="s">
        <v>43</v>
      </c>
      <c r="F49" s="12" t="s">
        <v>29</v>
      </c>
      <c r="G49" s="12" t="n">
        <v>3</v>
      </c>
      <c r="H49" s="14" t="n">
        <v>758.42</v>
      </c>
      <c r="I49" s="15" t="n">
        <v>0.3</v>
      </c>
      <c r="J49" s="14" t="n">
        <v>-211.39</v>
      </c>
    </row>
    <row r="50" customFormat="false" ht="15" hidden="false" customHeight="true" outlineLevel="0" collapsed="false">
      <c r="A50" s="12" t="s">
        <v>87</v>
      </c>
      <c r="B50" s="13" t="n">
        <v>45702</v>
      </c>
      <c r="C50" s="12" t="s">
        <v>21</v>
      </c>
      <c r="D50" s="12" t="s">
        <v>31</v>
      </c>
      <c r="E50" s="12" t="s">
        <v>37</v>
      </c>
      <c r="F50" s="12" t="s">
        <v>29</v>
      </c>
      <c r="G50" s="12" t="n">
        <v>7</v>
      </c>
      <c r="H50" s="14" t="n">
        <v>1277.16</v>
      </c>
      <c r="I50" s="15" t="n">
        <v>0.4</v>
      </c>
      <c r="J50" s="14" t="n">
        <v>-206.35</v>
      </c>
    </row>
    <row r="51" customFormat="false" ht="15" hidden="false" customHeight="true" outlineLevel="0" collapsed="false">
      <c r="A51" s="12" t="s">
        <v>88</v>
      </c>
      <c r="B51" s="13" t="n">
        <v>45703</v>
      </c>
      <c r="C51" s="12" t="s">
        <v>21</v>
      </c>
      <c r="D51" s="12" t="s">
        <v>27</v>
      </c>
      <c r="E51" s="12" t="s">
        <v>51</v>
      </c>
      <c r="F51" s="12" t="s">
        <v>24</v>
      </c>
      <c r="G51" s="12" t="n">
        <v>3</v>
      </c>
      <c r="H51" s="14" t="n">
        <v>525.64</v>
      </c>
      <c r="I51" s="15" t="n">
        <v>0.1</v>
      </c>
      <c r="J51" s="14" t="n">
        <v>-56.81</v>
      </c>
    </row>
    <row r="52" customFormat="false" ht="15" hidden="false" customHeight="true" outlineLevel="0" collapsed="false">
      <c r="A52" s="12" t="s">
        <v>89</v>
      </c>
      <c r="B52" s="13" t="n">
        <v>45704</v>
      </c>
      <c r="C52" s="12" t="s">
        <v>34</v>
      </c>
      <c r="D52" s="12" t="s">
        <v>27</v>
      </c>
      <c r="E52" s="12" t="s">
        <v>51</v>
      </c>
      <c r="F52" s="12" t="s">
        <v>24</v>
      </c>
      <c r="G52" s="12" t="n">
        <v>6</v>
      </c>
      <c r="H52" s="14" t="n">
        <v>946.14</v>
      </c>
      <c r="I52" s="15" t="n">
        <v>0.3</v>
      </c>
      <c r="J52" s="14" t="n">
        <v>-227.56</v>
      </c>
    </row>
    <row r="53" customFormat="false" ht="15" hidden="false" customHeight="true" outlineLevel="0" collapsed="false">
      <c r="A53" s="12" t="s">
        <v>90</v>
      </c>
      <c r="B53" s="13" t="n">
        <v>45704</v>
      </c>
      <c r="C53" s="12" t="s">
        <v>26</v>
      </c>
      <c r="D53" s="12" t="s">
        <v>31</v>
      </c>
      <c r="E53" s="12" t="s">
        <v>37</v>
      </c>
      <c r="F53" s="12" t="s">
        <v>29</v>
      </c>
      <c r="G53" s="12" t="n">
        <v>5</v>
      </c>
      <c r="H53" s="14" t="n">
        <v>892.82</v>
      </c>
      <c r="I53" s="15" t="n">
        <v>0.4</v>
      </c>
      <c r="J53" s="14" t="n">
        <v>-161.84</v>
      </c>
    </row>
    <row r="54" customFormat="false" ht="15" hidden="false" customHeight="true" outlineLevel="0" collapsed="false">
      <c r="A54" s="12" t="s">
        <v>91</v>
      </c>
      <c r="B54" s="13" t="n">
        <v>45704</v>
      </c>
      <c r="C54" s="12" t="s">
        <v>21</v>
      </c>
      <c r="D54" s="12" t="s">
        <v>27</v>
      </c>
      <c r="E54" s="12" t="s">
        <v>43</v>
      </c>
      <c r="F54" s="12" t="s">
        <v>29</v>
      </c>
      <c r="G54" s="12" t="n">
        <v>2</v>
      </c>
      <c r="H54" s="14" t="n">
        <v>505.55</v>
      </c>
      <c r="I54" s="15" t="n">
        <v>0</v>
      </c>
      <c r="J54" s="14" t="n">
        <v>-25.84</v>
      </c>
    </row>
    <row r="55" customFormat="false" ht="15" hidden="false" customHeight="true" outlineLevel="0" collapsed="false">
      <c r="A55" s="12" t="s">
        <v>92</v>
      </c>
      <c r="B55" s="13" t="n">
        <v>45704</v>
      </c>
      <c r="C55" s="12" t="s">
        <v>21</v>
      </c>
      <c r="D55" s="12" t="s">
        <v>22</v>
      </c>
      <c r="E55" s="12" t="s">
        <v>48</v>
      </c>
      <c r="F55" s="12" t="s">
        <v>35</v>
      </c>
      <c r="G55" s="12" t="n">
        <v>6</v>
      </c>
      <c r="H55" s="14" t="n">
        <v>258.66</v>
      </c>
      <c r="I55" s="15" t="n">
        <v>0</v>
      </c>
      <c r="J55" s="14" t="n">
        <v>61.61</v>
      </c>
    </row>
    <row r="56" customFormat="false" ht="15" hidden="false" customHeight="true" outlineLevel="0" collapsed="false">
      <c r="A56" s="12" t="s">
        <v>93</v>
      </c>
      <c r="B56" s="13" t="n">
        <v>45706</v>
      </c>
      <c r="C56" s="12" t="s">
        <v>21</v>
      </c>
      <c r="D56" s="12" t="s">
        <v>27</v>
      </c>
      <c r="E56" s="12" t="s">
        <v>51</v>
      </c>
      <c r="F56" s="12" t="s">
        <v>35</v>
      </c>
      <c r="G56" s="12" t="n">
        <v>2</v>
      </c>
      <c r="H56" s="14" t="n">
        <v>675.8</v>
      </c>
      <c r="I56" s="15" t="n">
        <v>0</v>
      </c>
      <c r="J56" s="14" t="n">
        <v>50.08</v>
      </c>
    </row>
    <row r="57" customFormat="false" ht="15" hidden="false" customHeight="true" outlineLevel="0" collapsed="false">
      <c r="A57" s="12" t="s">
        <v>94</v>
      </c>
      <c r="B57" s="13" t="n">
        <v>45707</v>
      </c>
      <c r="C57" s="12" t="s">
        <v>34</v>
      </c>
      <c r="D57" s="12" t="s">
        <v>22</v>
      </c>
      <c r="E57" s="12" t="s">
        <v>48</v>
      </c>
      <c r="F57" s="12" t="s">
        <v>29</v>
      </c>
      <c r="G57" s="12" t="n">
        <v>3</v>
      </c>
      <c r="H57" s="14" t="n">
        <v>85.57</v>
      </c>
      <c r="I57" s="15" t="n">
        <v>0</v>
      </c>
      <c r="J57" s="14" t="n">
        <v>19.03</v>
      </c>
    </row>
    <row r="58" customFormat="false" ht="15" hidden="false" customHeight="true" outlineLevel="0" collapsed="false">
      <c r="A58" s="12" t="s">
        <v>95</v>
      </c>
      <c r="B58" s="13" t="n">
        <v>45708</v>
      </c>
      <c r="C58" s="12" t="s">
        <v>39</v>
      </c>
      <c r="D58" s="12" t="s">
        <v>22</v>
      </c>
      <c r="E58" s="12" t="s">
        <v>23</v>
      </c>
      <c r="F58" s="12" t="s">
        <v>24</v>
      </c>
      <c r="G58" s="12" t="n">
        <v>7</v>
      </c>
      <c r="H58" s="14" t="n">
        <v>220.34</v>
      </c>
      <c r="I58" s="15" t="n">
        <v>0</v>
      </c>
      <c r="J58" s="14" t="n">
        <v>47.82</v>
      </c>
    </row>
    <row r="59" customFormat="false" ht="15" hidden="false" customHeight="true" outlineLevel="0" collapsed="false">
      <c r="A59" s="12" t="s">
        <v>96</v>
      </c>
      <c r="B59" s="13" t="n">
        <v>45709</v>
      </c>
      <c r="C59" s="12" t="s">
        <v>21</v>
      </c>
      <c r="D59" s="12" t="s">
        <v>27</v>
      </c>
      <c r="E59" s="12" t="s">
        <v>51</v>
      </c>
      <c r="F59" s="12" t="s">
        <v>29</v>
      </c>
      <c r="G59" s="12" t="n">
        <v>7</v>
      </c>
      <c r="H59" s="14" t="n">
        <v>1482.95</v>
      </c>
      <c r="I59" s="15" t="n">
        <v>0.2</v>
      </c>
      <c r="J59" s="14" t="n">
        <v>-275.13</v>
      </c>
    </row>
    <row r="60" customFormat="false" ht="15" hidden="false" customHeight="true" outlineLevel="0" collapsed="false">
      <c r="A60" s="12" t="s">
        <v>97</v>
      </c>
      <c r="B60" s="13" t="n">
        <v>45709</v>
      </c>
      <c r="C60" s="12" t="s">
        <v>21</v>
      </c>
      <c r="D60" s="12" t="s">
        <v>22</v>
      </c>
      <c r="E60" s="12" t="s">
        <v>48</v>
      </c>
      <c r="F60" s="12" t="s">
        <v>35</v>
      </c>
      <c r="G60" s="12" t="n">
        <v>2</v>
      </c>
      <c r="H60" s="14" t="n">
        <v>101.4</v>
      </c>
      <c r="I60" s="15" t="n">
        <v>0</v>
      </c>
      <c r="J60" s="14" t="n">
        <v>19.53</v>
      </c>
    </row>
    <row r="61" customFormat="false" ht="15" hidden="false" customHeight="true" outlineLevel="0" collapsed="false">
      <c r="A61" s="12" t="s">
        <v>98</v>
      </c>
      <c r="B61" s="13" t="n">
        <v>45709</v>
      </c>
      <c r="C61" s="12" t="s">
        <v>34</v>
      </c>
      <c r="D61" s="12" t="s">
        <v>31</v>
      </c>
      <c r="E61" s="12" t="s">
        <v>37</v>
      </c>
      <c r="F61" s="12" t="s">
        <v>29</v>
      </c>
      <c r="G61" s="12" t="n">
        <v>7</v>
      </c>
      <c r="H61" s="14" t="n">
        <v>3866.13</v>
      </c>
      <c r="I61" s="15" t="n">
        <v>0</v>
      </c>
      <c r="J61" s="14" t="n">
        <v>1400.1</v>
      </c>
    </row>
    <row r="62" customFormat="false" ht="15" hidden="false" customHeight="true" outlineLevel="0" collapsed="false">
      <c r="A62" s="12" t="s">
        <v>99</v>
      </c>
      <c r="B62" s="13" t="n">
        <v>45709</v>
      </c>
      <c r="C62" s="12" t="s">
        <v>39</v>
      </c>
      <c r="D62" s="12" t="s">
        <v>31</v>
      </c>
      <c r="E62" s="12" t="s">
        <v>37</v>
      </c>
      <c r="F62" s="12" t="s">
        <v>35</v>
      </c>
      <c r="G62" s="12" t="n">
        <v>6</v>
      </c>
      <c r="H62" s="14" t="n">
        <v>2505.36</v>
      </c>
      <c r="I62" s="15" t="n">
        <v>0</v>
      </c>
      <c r="J62" s="14" t="n">
        <v>546.72</v>
      </c>
    </row>
    <row r="63" customFormat="false" ht="15" hidden="false" customHeight="true" outlineLevel="0" collapsed="false">
      <c r="A63" s="12" t="s">
        <v>100</v>
      </c>
      <c r="B63" s="13" t="n">
        <v>45710</v>
      </c>
      <c r="C63" s="12" t="s">
        <v>39</v>
      </c>
      <c r="D63" s="12" t="s">
        <v>31</v>
      </c>
      <c r="E63" s="12" t="s">
        <v>37</v>
      </c>
      <c r="F63" s="12" t="s">
        <v>29</v>
      </c>
      <c r="G63" s="12" t="n">
        <v>3</v>
      </c>
      <c r="H63" s="14" t="n">
        <v>812.09</v>
      </c>
      <c r="I63" s="15" t="n">
        <v>0.1</v>
      </c>
      <c r="J63" s="14" t="n">
        <v>94.09</v>
      </c>
    </row>
    <row r="64" customFormat="false" ht="15" hidden="false" customHeight="true" outlineLevel="0" collapsed="false">
      <c r="A64" s="12" t="s">
        <v>101</v>
      </c>
      <c r="B64" s="13" t="n">
        <v>45710</v>
      </c>
      <c r="C64" s="12" t="s">
        <v>21</v>
      </c>
      <c r="D64" s="12" t="s">
        <v>22</v>
      </c>
      <c r="E64" s="12" t="s">
        <v>48</v>
      </c>
      <c r="F64" s="12" t="s">
        <v>29</v>
      </c>
      <c r="G64" s="12" t="n">
        <v>3</v>
      </c>
      <c r="H64" s="14" t="n">
        <v>105.3</v>
      </c>
      <c r="I64" s="15" t="n">
        <v>0.3</v>
      </c>
      <c r="J64" s="14" t="n">
        <v>-12.7</v>
      </c>
    </row>
    <row r="65" customFormat="false" ht="15" hidden="false" customHeight="true" outlineLevel="0" collapsed="false">
      <c r="A65" s="12" t="s">
        <v>102</v>
      </c>
      <c r="B65" s="13" t="n">
        <v>45711</v>
      </c>
      <c r="C65" s="12" t="s">
        <v>34</v>
      </c>
      <c r="D65" s="12" t="s">
        <v>22</v>
      </c>
      <c r="E65" s="12" t="s">
        <v>48</v>
      </c>
      <c r="F65" s="12" t="s">
        <v>35</v>
      </c>
      <c r="G65" s="12" t="n">
        <v>4</v>
      </c>
      <c r="H65" s="14" t="n">
        <v>121.52</v>
      </c>
      <c r="I65" s="15" t="n">
        <v>0</v>
      </c>
      <c r="J65" s="14" t="n">
        <v>28.77</v>
      </c>
    </row>
    <row r="66" customFormat="false" ht="15" hidden="false" customHeight="true" outlineLevel="0" collapsed="false">
      <c r="A66" s="12" t="s">
        <v>103</v>
      </c>
      <c r="B66" s="13" t="n">
        <v>45711</v>
      </c>
      <c r="C66" s="12" t="s">
        <v>34</v>
      </c>
      <c r="D66" s="12" t="s">
        <v>31</v>
      </c>
      <c r="E66" s="12" t="s">
        <v>37</v>
      </c>
      <c r="F66" s="12" t="s">
        <v>35</v>
      </c>
      <c r="G66" s="12" t="n">
        <v>1</v>
      </c>
      <c r="H66" s="14" t="n">
        <v>535.36</v>
      </c>
      <c r="I66" s="15" t="n">
        <v>0</v>
      </c>
      <c r="J66" s="14" t="n">
        <v>125.74</v>
      </c>
    </row>
    <row r="67" customFormat="false" ht="15" hidden="false" customHeight="true" outlineLevel="0" collapsed="false">
      <c r="A67" s="12" t="s">
        <v>104</v>
      </c>
      <c r="B67" s="13" t="n">
        <v>45713</v>
      </c>
      <c r="C67" s="12" t="s">
        <v>34</v>
      </c>
      <c r="D67" s="12" t="s">
        <v>22</v>
      </c>
      <c r="E67" s="12" t="s">
        <v>23</v>
      </c>
      <c r="F67" s="12" t="s">
        <v>35</v>
      </c>
      <c r="G67" s="12" t="n">
        <v>6</v>
      </c>
      <c r="H67" s="14" t="n">
        <v>303.52</v>
      </c>
      <c r="I67" s="15" t="n">
        <v>0</v>
      </c>
      <c r="J67" s="14" t="n">
        <v>59.04</v>
      </c>
    </row>
    <row r="68" customFormat="false" ht="15" hidden="false" customHeight="true" outlineLevel="0" collapsed="false">
      <c r="A68" s="12" t="s">
        <v>105</v>
      </c>
      <c r="B68" s="13" t="n">
        <v>45714</v>
      </c>
      <c r="C68" s="12" t="s">
        <v>34</v>
      </c>
      <c r="D68" s="12" t="s">
        <v>22</v>
      </c>
      <c r="E68" s="12" t="s">
        <v>45</v>
      </c>
      <c r="F68" s="12" t="s">
        <v>35</v>
      </c>
      <c r="G68" s="12" t="n">
        <v>6</v>
      </c>
      <c r="H68" s="14" t="n">
        <v>234.57</v>
      </c>
      <c r="I68" s="15" t="n">
        <v>0</v>
      </c>
      <c r="J68" s="14" t="n">
        <v>38.36</v>
      </c>
    </row>
    <row r="69" customFormat="false" ht="15" hidden="false" customHeight="true" outlineLevel="0" collapsed="false">
      <c r="A69" s="12" t="s">
        <v>106</v>
      </c>
      <c r="B69" s="13" t="n">
        <v>45714</v>
      </c>
      <c r="C69" s="12" t="s">
        <v>34</v>
      </c>
      <c r="D69" s="12" t="s">
        <v>22</v>
      </c>
      <c r="E69" s="12" t="s">
        <v>48</v>
      </c>
      <c r="F69" s="12" t="s">
        <v>29</v>
      </c>
      <c r="G69" s="12" t="n">
        <v>6</v>
      </c>
      <c r="H69" s="14" t="n">
        <v>288.18</v>
      </c>
      <c r="I69" s="15" t="n">
        <v>0</v>
      </c>
      <c r="J69" s="14" t="n">
        <v>52.23</v>
      </c>
    </row>
    <row r="70" customFormat="false" ht="15" hidden="false" customHeight="true" outlineLevel="0" collapsed="false">
      <c r="A70" s="12" t="s">
        <v>107</v>
      </c>
      <c r="B70" s="13" t="n">
        <v>45715</v>
      </c>
      <c r="C70" s="12" t="s">
        <v>34</v>
      </c>
      <c r="D70" s="12" t="s">
        <v>22</v>
      </c>
      <c r="E70" s="12" t="s">
        <v>45</v>
      </c>
      <c r="F70" s="12" t="s">
        <v>29</v>
      </c>
      <c r="G70" s="12" t="n">
        <v>1</v>
      </c>
      <c r="H70" s="14" t="n">
        <v>31.21</v>
      </c>
      <c r="I70" s="15" t="n">
        <v>0.4</v>
      </c>
      <c r="J70" s="14" t="n">
        <v>-6.62</v>
      </c>
    </row>
    <row r="71" customFormat="false" ht="15" hidden="false" customHeight="true" outlineLevel="0" collapsed="false">
      <c r="A71" s="12" t="s">
        <v>108</v>
      </c>
      <c r="B71" s="13" t="n">
        <v>45715</v>
      </c>
      <c r="C71" s="12" t="s">
        <v>39</v>
      </c>
      <c r="D71" s="12" t="s">
        <v>22</v>
      </c>
      <c r="E71" s="12" t="s">
        <v>23</v>
      </c>
      <c r="F71" s="12" t="s">
        <v>29</v>
      </c>
      <c r="G71" s="12" t="n">
        <v>6</v>
      </c>
      <c r="H71" s="14" t="n">
        <v>205.24</v>
      </c>
      <c r="I71" s="15" t="n">
        <v>0</v>
      </c>
      <c r="J71" s="14" t="n">
        <v>38.38</v>
      </c>
    </row>
    <row r="72" customFormat="false" ht="15" hidden="false" customHeight="true" outlineLevel="0" collapsed="false">
      <c r="A72" s="12" t="s">
        <v>109</v>
      </c>
      <c r="B72" s="13" t="n">
        <v>45715</v>
      </c>
      <c r="C72" s="12" t="s">
        <v>34</v>
      </c>
      <c r="D72" s="12" t="s">
        <v>31</v>
      </c>
      <c r="E72" s="12" t="s">
        <v>41</v>
      </c>
      <c r="F72" s="12" t="s">
        <v>24</v>
      </c>
      <c r="G72" s="12" t="n">
        <v>2</v>
      </c>
      <c r="H72" s="14" t="n">
        <v>979.53</v>
      </c>
      <c r="I72" s="15" t="n">
        <v>0.2</v>
      </c>
      <c r="J72" s="14" t="n">
        <v>70.33</v>
      </c>
    </row>
    <row r="73" customFormat="false" ht="15" hidden="false" customHeight="true" outlineLevel="0" collapsed="false">
      <c r="A73" s="12" t="s">
        <v>110</v>
      </c>
      <c r="B73" s="13" t="n">
        <v>45716</v>
      </c>
      <c r="C73" s="12" t="s">
        <v>34</v>
      </c>
      <c r="D73" s="12" t="s">
        <v>22</v>
      </c>
      <c r="E73" s="12" t="s">
        <v>48</v>
      </c>
      <c r="F73" s="12" t="s">
        <v>35</v>
      </c>
      <c r="G73" s="12" t="n">
        <v>4</v>
      </c>
      <c r="H73" s="14" t="n">
        <v>194.7</v>
      </c>
      <c r="I73" s="15" t="n">
        <v>0</v>
      </c>
      <c r="J73" s="14" t="n">
        <v>43.66</v>
      </c>
    </row>
    <row r="74" customFormat="false" ht="15" hidden="false" customHeight="true" outlineLevel="0" collapsed="false">
      <c r="A74" s="12" t="s">
        <v>111</v>
      </c>
      <c r="B74" s="13" t="n">
        <v>45716</v>
      </c>
      <c r="C74" s="12" t="s">
        <v>26</v>
      </c>
      <c r="D74" s="12" t="s">
        <v>22</v>
      </c>
      <c r="E74" s="12" t="s">
        <v>23</v>
      </c>
      <c r="F74" s="12" t="s">
        <v>29</v>
      </c>
      <c r="G74" s="12" t="n">
        <v>7</v>
      </c>
      <c r="H74" s="14" t="n">
        <v>282.7</v>
      </c>
      <c r="I74" s="15" t="n">
        <v>0.3</v>
      </c>
      <c r="J74" s="14" t="n">
        <v>-50.25</v>
      </c>
    </row>
    <row r="75" customFormat="false" ht="15" hidden="false" customHeight="true" outlineLevel="0" collapsed="false">
      <c r="A75" s="12" t="s">
        <v>112</v>
      </c>
      <c r="B75" s="13" t="n">
        <v>45716</v>
      </c>
      <c r="C75" s="12" t="s">
        <v>34</v>
      </c>
      <c r="D75" s="12" t="s">
        <v>22</v>
      </c>
      <c r="E75" s="12" t="s">
        <v>23</v>
      </c>
      <c r="F75" s="12" t="s">
        <v>24</v>
      </c>
      <c r="G75" s="12" t="n">
        <v>6</v>
      </c>
      <c r="H75" s="14" t="n">
        <v>196.75</v>
      </c>
      <c r="I75" s="15" t="n">
        <v>0</v>
      </c>
      <c r="J75" s="14" t="n">
        <v>34.06</v>
      </c>
    </row>
    <row r="76" customFormat="false" ht="15" hidden="false" customHeight="true" outlineLevel="0" collapsed="false">
      <c r="A76" s="12" t="s">
        <v>113</v>
      </c>
      <c r="B76" s="13" t="n">
        <v>45717</v>
      </c>
      <c r="C76" s="12" t="s">
        <v>21</v>
      </c>
      <c r="D76" s="12" t="s">
        <v>31</v>
      </c>
      <c r="E76" s="12" t="s">
        <v>32</v>
      </c>
      <c r="F76" s="12" t="s">
        <v>24</v>
      </c>
      <c r="G76" s="12" t="n">
        <v>6</v>
      </c>
      <c r="H76" s="14" t="n">
        <v>3246.27</v>
      </c>
      <c r="I76" s="15" t="n">
        <v>0</v>
      </c>
      <c r="J76" s="14" t="n">
        <v>1111.06</v>
      </c>
    </row>
    <row r="77" customFormat="false" ht="15" hidden="false" customHeight="true" outlineLevel="0" collapsed="false">
      <c r="A77" s="12" t="s">
        <v>114</v>
      </c>
      <c r="B77" s="13" t="n">
        <v>45717</v>
      </c>
      <c r="C77" s="12" t="s">
        <v>39</v>
      </c>
      <c r="D77" s="12" t="s">
        <v>22</v>
      </c>
      <c r="E77" s="12" t="s">
        <v>23</v>
      </c>
      <c r="F77" s="12" t="s">
        <v>24</v>
      </c>
      <c r="G77" s="12" t="n">
        <v>5</v>
      </c>
      <c r="H77" s="14" t="n">
        <v>166.41</v>
      </c>
      <c r="I77" s="15" t="n">
        <v>0</v>
      </c>
      <c r="J77" s="14" t="n">
        <v>31.99</v>
      </c>
    </row>
    <row r="78" customFormat="false" ht="15" hidden="false" customHeight="true" outlineLevel="0" collapsed="false">
      <c r="A78" s="12" t="s">
        <v>115</v>
      </c>
      <c r="B78" s="13" t="n">
        <v>45717</v>
      </c>
      <c r="C78" s="12" t="s">
        <v>26</v>
      </c>
      <c r="D78" s="12" t="s">
        <v>22</v>
      </c>
      <c r="E78" s="12" t="s">
        <v>45</v>
      </c>
      <c r="F78" s="12" t="s">
        <v>35</v>
      </c>
      <c r="G78" s="12" t="n">
        <v>2</v>
      </c>
      <c r="H78" s="14" t="n">
        <v>60.07</v>
      </c>
      <c r="I78" s="15" t="n">
        <v>0</v>
      </c>
      <c r="J78" s="14" t="n">
        <v>5.19</v>
      </c>
    </row>
    <row r="79" customFormat="false" ht="15" hidden="false" customHeight="true" outlineLevel="0" collapsed="false">
      <c r="A79" s="12" t="s">
        <v>116</v>
      </c>
      <c r="B79" s="13" t="n">
        <v>45718</v>
      </c>
      <c r="C79" s="12" t="s">
        <v>21</v>
      </c>
      <c r="D79" s="12" t="s">
        <v>31</v>
      </c>
      <c r="E79" s="12" t="s">
        <v>32</v>
      </c>
      <c r="F79" s="12" t="s">
        <v>29</v>
      </c>
      <c r="G79" s="12" t="n">
        <v>5</v>
      </c>
      <c r="H79" s="14" t="n">
        <v>1035.08</v>
      </c>
      <c r="I79" s="15" t="n">
        <v>0.3</v>
      </c>
      <c r="J79" s="14" t="n">
        <v>-63.62</v>
      </c>
    </row>
    <row r="80" customFormat="false" ht="15" hidden="false" customHeight="true" outlineLevel="0" collapsed="false">
      <c r="A80" s="12" t="s">
        <v>117</v>
      </c>
      <c r="B80" s="13" t="n">
        <v>45718</v>
      </c>
      <c r="C80" s="12" t="s">
        <v>39</v>
      </c>
      <c r="D80" s="12" t="s">
        <v>31</v>
      </c>
      <c r="E80" s="12" t="s">
        <v>32</v>
      </c>
      <c r="F80" s="12" t="s">
        <v>29</v>
      </c>
      <c r="G80" s="12" t="n">
        <v>2</v>
      </c>
      <c r="H80" s="14" t="n">
        <v>583.48</v>
      </c>
      <c r="I80" s="15" t="n">
        <v>0.4</v>
      </c>
      <c r="J80" s="14" t="n">
        <v>-39.81</v>
      </c>
    </row>
    <row r="81" customFormat="false" ht="15" hidden="false" customHeight="true" outlineLevel="0" collapsed="false">
      <c r="A81" s="12" t="s">
        <v>118</v>
      </c>
      <c r="B81" s="13" t="n">
        <v>45720</v>
      </c>
      <c r="C81" s="12" t="s">
        <v>39</v>
      </c>
      <c r="D81" s="12" t="s">
        <v>27</v>
      </c>
      <c r="E81" s="12" t="s">
        <v>28</v>
      </c>
      <c r="F81" s="12" t="s">
        <v>24</v>
      </c>
      <c r="G81" s="12" t="n">
        <v>2</v>
      </c>
      <c r="H81" s="14" t="n">
        <v>726.11</v>
      </c>
      <c r="I81" s="15" t="n">
        <v>0</v>
      </c>
      <c r="J81" s="14" t="n">
        <v>-29.35</v>
      </c>
    </row>
    <row r="82" customFormat="false" ht="15" hidden="false" customHeight="true" outlineLevel="0" collapsed="false">
      <c r="A82" s="12" t="s">
        <v>119</v>
      </c>
      <c r="B82" s="13" t="n">
        <v>45720</v>
      </c>
      <c r="C82" s="12" t="s">
        <v>39</v>
      </c>
      <c r="D82" s="12" t="s">
        <v>27</v>
      </c>
      <c r="E82" s="12" t="s">
        <v>28</v>
      </c>
      <c r="F82" s="12" t="s">
        <v>29</v>
      </c>
      <c r="G82" s="12" t="n">
        <v>6</v>
      </c>
      <c r="H82" s="14" t="n">
        <v>1711.27</v>
      </c>
      <c r="I82" s="15" t="n">
        <v>0</v>
      </c>
      <c r="J82" s="14" t="n">
        <v>33.79</v>
      </c>
    </row>
    <row r="83" customFormat="false" ht="15" hidden="false" customHeight="true" outlineLevel="0" collapsed="false">
      <c r="A83" s="12" t="s">
        <v>120</v>
      </c>
      <c r="B83" s="13" t="n">
        <v>45721</v>
      </c>
      <c r="C83" s="12" t="s">
        <v>21</v>
      </c>
      <c r="D83" s="12" t="s">
        <v>22</v>
      </c>
      <c r="E83" s="12" t="s">
        <v>48</v>
      </c>
      <c r="F83" s="12" t="s">
        <v>35</v>
      </c>
      <c r="G83" s="12" t="n">
        <v>1</v>
      </c>
      <c r="H83" s="14" t="n">
        <v>24.68</v>
      </c>
      <c r="I83" s="15" t="n">
        <v>0.1</v>
      </c>
      <c r="J83" s="14" t="n">
        <v>2.58</v>
      </c>
    </row>
    <row r="84" customFormat="false" ht="15" hidden="false" customHeight="true" outlineLevel="0" collapsed="false">
      <c r="A84" s="12" t="s">
        <v>121</v>
      </c>
      <c r="B84" s="13" t="n">
        <v>45721</v>
      </c>
      <c r="C84" s="12" t="s">
        <v>34</v>
      </c>
      <c r="D84" s="12" t="s">
        <v>31</v>
      </c>
      <c r="E84" s="12" t="s">
        <v>32</v>
      </c>
      <c r="F84" s="12" t="s">
        <v>29</v>
      </c>
      <c r="G84" s="12" t="n">
        <v>3</v>
      </c>
      <c r="H84" s="14" t="n">
        <v>814.31</v>
      </c>
      <c r="I84" s="15" t="n">
        <v>0</v>
      </c>
      <c r="J84" s="14" t="n">
        <v>158.9</v>
      </c>
    </row>
    <row r="85" customFormat="false" ht="15" hidden="false" customHeight="true" outlineLevel="0" collapsed="false">
      <c r="A85" s="12" t="s">
        <v>122</v>
      </c>
      <c r="B85" s="13" t="n">
        <v>45721</v>
      </c>
      <c r="C85" s="12" t="s">
        <v>21</v>
      </c>
      <c r="D85" s="12" t="s">
        <v>31</v>
      </c>
      <c r="E85" s="12" t="s">
        <v>41</v>
      </c>
      <c r="F85" s="12" t="s">
        <v>35</v>
      </c>
      <c r="G85" s="12" t="n">
        <v>7</v>
      </c>
      <c r="H85" s="14" t="n">
        <v>2614.81</v>
      </c>
      <c r="I85" s="15" t="n">
        <v>0</v>
      </c>
      <c r="J85" s="14" t="n">
        <v>769.72</v>
      </c>
    </row>
    <row r="86" customFormat="false" ht="15" hidden="false" customHeight="true" outlineLevel="0" collapsed="false">
      <c r="A86" s="12" t="s">
        <v>123</v>
      </c>
      <c r="B86" s="13" t="n">
        <v>45722</v>
      </c>
      <c r="C86" s="12" t="s">
        <v>21</v>
      </c>
      <c r="D86" s="12" t="s">
        <v>31</v>
      </c>
      <c r="E86" s="12" t="s">
        <v>32</v>
      </c>
      <c r="F86" s="12" t="s">
        <v>29</v>
      </c>
      <c r="G86" s="12" t="n">
        <v>4</v>
      </c>
      <c r="H86" s="14" t="n">
        <v>1402.29</v>
      </c>
      <c r="I86" s="15" t="n">
        <v>0.4</v>
      </c>
      <c r="J86" s="14" t="n">
        <v>-221.65</v>
      </c>
    </row>
    <row r="87" customFormat="false" ht="15" hidden="false" customHeight="true" outlineLevel="0" collapsed="false">
      <c r="A87" s="12" t="s">
        <v>124</v>
      </c>
      <c r="B87" s="13" t="n">
        <v>45722</v>
      </c>
      <c r="C87" s="12" t="s">
        <v>39</v>
      </c>
      <c r="D87" s="12" t="s">
        <v>22</v>
      </c>
      <c r="E87" s="12" t="s">
        <v>45</v>
      </c>
      <c r="F87" s="12" t="s">
        <v>29</v>
      </c>
      <c r="G87" s="12" t="n">
        <v>2</v>
      </c>
      <c r="H87" s="14" t="n">
        <v>79.41</v>
      </c>
      <c r="I87" s="15" t="n">
        <v>0</v>
      </c>
      <c r="J87" s="14" t="n">
        <v>12.56</v>
      </c>
    </row>
    <row r="88" customFormat="false" ht="15" hidden="false" customHeight="true" outlineLevel="0" collapsed="false">
      <c r="A88" s="12" t="s">
        <v>125</v>
      </c>
      <c r="B88" s="13" t="n">
        <v>45724</v>
      </c>
      <c r="C88" s="12" t="s">
        <v>21</v>
      </c>
      <c r="D88" s="12" t="s">
        <v>27</v>
      </c>
      <c r="E88" s="12" t="s">
        <v>43</v>
      </c>
      <c r="F88" s="12" t="s">
        <v>29</v>
      </c>
      <c r="G88" s="12" t="n">
        <v>5</v>
      </c>
      <c r="H88" s="14" t="n">
        <v>951.83</v>
      </c>
      <c r="I88" s="15" t="n">
        <v>0</v>
      </c>
      <c r="J88" s="14" t="n">
        <v>-61.59</v>
      </c>
    </row>
    <row r="89" customFormat="false" ht="15" hidden="false" customHeight="true" outlineLevel="0" collapsed="false">
      <c r="A89" s="12" t="s">
        <v>126</v>
      </c>
      <c r="B89" s="13" t="n">
        <v>45725</v>
      </c>
      <c r="C89" s="12" t="s">
        <v>26</v>
      </c>
      <c r="D89" s="12" t="s">
        <v>22</v>
      </c>
      <c r="E89" s="12" t="s">
        <v>23</v>
      </c>
      <c r="F89" s="12" t="s">
        <v>29</v>
      </c>
      <c r="G89" s="12" t="n">
        <v>3</v>
      </c>
      <c r="H89" s="14" t="n">
        <v>151.68</v>
      </c>
      <c r="I89" s="15" t="n">
        <v>0</v>
      </c>
      <c r="J89" s="14" t="n">
        <v>21.7</v>
      </c>
    </row>
    <row r="90" customFormat="false" ht="15" hidden="false" customHeight="true" outlineLevel="0" collapsed="false">
      <c r="A90" s="12" t="s">
        <v>127</v>
      </c>
      <c r="B90" s="13" t="n">
        <v>45725</v>
      </c>
      <c r="C90" s="12" t="s">
        <v>26</v>
      </c>
      <c r="D90" s="12" t="s">
        <v>31</v>
      </c>
      <c r="E90" s="12" t="s">
        <v>32</v>
      </c>
      <c r="F90" s="12" t="s">
        <v>29</v>
      </c>
      <c r="G90" s="12" t="n">
        <v>4</v>
      </c>
      <c r="H90" s="14" t="n">
        <v>1564.27</v>
      </c>
      <c r="I90" s="15" t="n">
        <v>0</v>
      </c>
      <c r="J90" s="14" t="n">
        <v>254.73</v>
      </c>
    </row>
    <row r="91" customFormat="false" ht="15" hidden="false" customHeight="true" outlineLevel="0" collapsed="false">
      <c r="A91" s="12" t="s">
        <v>128</v>
      </c>
      <c r="B91" s="13" t="n">
        <v>45725</v>
      </c>
      <c r="C91" s="12" t="s">
        <v>39</v>
      </c>
      <c r="D91" s="12" t="s">
        <v>31</v>
      </c>
      <c r="E91" s="12" t="s">
        <v>32</v>
      </c>
      <c r="F91" s="12" t="s">
        <v>29</v>
      </c>
      <c r="G91" s="12" t="n">
        <v>3</v>
      </c>
      <c r="H91" s="14" t="n">
        <v>954.84</v>
      </c>
      <c r="I91" s="15" t="n">
        <v>0</v>
      </c>
      <c r="J91" s="14" t="n">
        <v>259.25</v>
      </c>
    </row>
    <row r="92" customFormat="false" ht="15" hidden="false" customHeight="true" outlineLevel="0" collapsed="false">
      <c r="A92" s="12" t="s">
        <v>129</v>
      </c>
      <c r="B92" s="13" t="n">
        <v>45725</v>
      </c>
      <c r="C92" s="12" t="s">
        <v>39</v>
      </c>
      <c r="D92" s="12" t="s">
        <v>22</v>
      </c>
      <c r="E92" s="12" t="s">
        <v>23</v>
      </c>
      <c r="F92" s="12" t="s">
        <v>24</v>
      </c>
      <c r="G92" s="12" t="n">
        <v>7</v>
      </c>
      <c r="H92" s="14" t="n">
        <v>168.65</v>
      </c>
      <c r="I92" s="15" t="n">
        <v>0.4</v>
      </c>
      <c r="J92" s="14" t="n">
        <v>-32.03</v>
      </c>
    </row>
    <row r="93" customFormat="false" ht="15" hidden="false" customHeight="true" outlineLevel="0" collapsed="false">
      <c r="A93" s="12" t="s">
        <v>130</v>
      </c>
      <c r="B93" s="13" t="n">
        <v>45725</v>
      </c>
      <c r="C93" s="12" t="s">
        <v>21</v>
      </c>
      <c r="D93" s="12" t="s">
        <v>31</v>
      </c>
      <c r="E93" s="12" t="s">
        <v>37</v>
      </c>
      <c r="F93" s="12" t="s">
        <v>29</v>
      </c>
      <c r="G93" s="12" t="n">
        <v>5</v>
      </c>
      <c r="H93" s="14" t="n">
        <v>2499.98</v>
      </c>
      <c r="I93" s="15" t="n">
        <v>0</v>
      </c>
      <c r="J93" s="14" t="n">
        <v>518.17</v>
      </c>
    </row>
    <row r="94" customFormat="false" ht="15" hidden="false" customHeight="true" outlineLevel="0" collapsed="false">
      <c r="A94" s="12" t="s">
        <v>131</v>
      </c>
      <c r="B94" s="13" t="n">
        <v>45726</v>
      </c>
      <c r="C94" s="12" t="s">
        <v>34</v>
      </c>
      <c r="D94" s="12" t="s">
        <v>22</v>
      </c>
      <c r="E94" s="12" t="s">
        <v>45</v>
      </c>
      <c r="F94" s="12" t="s">
        <v>35</v>
      </c>
      <c r="G94" s="12" t="n">
        <v>4</v>
      </c>
      <c r="H94" s="14" t="n">
        <v>178.49</v>
      </c>
      <c r="I94" s="15" t="n">
        <v>0.1</v>
      </c>
      <c r="J94" s="14" t="n">
        <v>16.39</v>
      </c>
    </row>
    <row r="95" customFormat="false" ht="15" hidden="false" customHeight="true" outlineLevel="0" collapsed="false">
      <c r="A95" s="12" t="s">
        <v>132</v>
      </c>
      <c r="B95" s="13" t="n">
        <v>45726</v>
      </c>
      <c r="C95" s="12" t="s">
        <v>34</v>
      </c>
      <c r="D95" s="12" t="s">
        <v>22</v>
      </c>
      <c r="E95" s="12" t="s">
        <v>45</v>
      </c>
      <c r="F95" s="12" t="s">
        <v>29</v>
      </c>
      <c r="G95" s="12" t="n">
        <v>3</v>
      </c>
      <c r="H95" s="14" t="n">
        <v>153.85</v>
      </c>
      <c r="I95" s="15" t="n">
        <v>0</v>
      </c>
      <c r="J95" s="14" t="n">
        <v>18.46</v>
      </c>
    </row>
    <row r="96" customFormat="false" ht="15" hidden="false" customHeight="true" outlineLevel="0" collapsed="false">
      <c r="A96" s="12" t="s">
        <v>133</v>
      </c>
      <c r="B96" s="13" t="n">
        <v>45727</v>
      </c>
      <c r="C96" s="12" t="s">
        <v>39</v>
      </c>
      <c r="D96" s="12" t="s">
        <v>22</v>
      </c>
      <c r="E96" s="12" t="s">
        <v>45</v>
      </c>
      <c r="F96" s="12" t="s">
        <v>24</v>
      </c>
      <c r="G96" s="12" t="n">
        <v>3</v>
      </c>
      <c r="H96" s="14" t="n">
        <v>95.39</v>
      </c>
      <c r="I96" s="15" t="n">
        <v>0.1</v>
      </c>
      <c r="J96" s="14" t="n">
        <v>3.81</v>
      </c>
    </row>
    <row r="97" customFormat="false" ht="15" hidden="false" customHeight="true" outlineLevel="0" collapsed="false">
      <c r="A97" s="12" t="s">
        <v>134</v>
      </c>
      <c r="B97" s="13" t="n">
        <v>45727</v>
      </c>
      <c r="C97" s="12" t="s">
        <v>39</v>
      </c>
      <c r="D97" s="12" t="s">
        <v>27</v>
      </c>
      <c r="E97" s="12" t="s">
        <v>43</v>
      </c>
      <c r="F97" s="12" t="s">
        <v>29</v>
      </c>
      <c r="G97" s="12" t="n">
        <v>5</v>
      </c>
      <c r="H97" s="14" t="n">
        <v>921.7</v>
      </c>
      <c r="I97" s="15" t="n">
        <v>0.4</v>
      </c>
      <c r="J97" s="14" t="n">
        <v>-322</v>
      </c>
    </row>
    <row r="98" customFormat="false" ht="15" hidden="false" customHeight="true" outlineLevel="0" collapsed="false">
      <c r="A98" s="12" t="s">
        <v>135</v>
      </c>
      <c r="B98" s="13" t="n">
        <v>45727</v>
      </c>
      <c r="C98" s="12" t="s">
        <v>34</v>
      </c>
      <c r="D98" s="12" t="s">
        <v>31</v>
      </c>
      <c r="E98" s="12" t="s">
        <v>32</v>
      </c>
      <c r="F98" s="12" t="s">
        <v>35</v>
      </c>
      <c r="G98" s="12" t="n">
        <v>4</v>
      </c>
      <c r="H98" s="14" t="n">
        <v>1097.94</v>
      </c>
      <c r="I98" s="15" t="n">
        <v>0</v>
      </c>
      <c r="J98" s="14" t="n">
        <v>382.11</v>
      </c>
    </row>
    <row r="99" customFormat="false" ht="15" hidden="false" customHeight="true" outlineLevel="0" collapsed="false">
      <c r="A99" s="12" t="s">
        <v>136</v>
      </c>
      <c r="B99" s="13" t="n">
        <v>45727</v>
      </c>
      <c r="C99" s="12" t="s">
        <v>26</v>
      </c>
      <c r="D99" s="12" t="s">
        <v>27</v>
      </c>
      <c r="E99" s="12" t="s">
        <v>51</v>
      </c>
      <c r="F99" s="12" t="s">
        <v>29</v>
      </c>
      <c r="G99" s="12" t="n">
        <v>7</v>
      </c>
      <c r="H99" s="14" t="n">
        <v>1431.04</v>
      </c>
      <c r="I99" s="15" t="n">
        <v>0</v>
      </c>
      <c r="J99" s="14" t="n">
        <v>-106.34</v>
      </c>
    </row>
    <row r="100" customFormat="false" ht="15" hidden="false" customHeight="true" outlineLevel="0" collapsed="false">
      <c r="A100" s="12" t="s">
        <v>137</v>
      </c>
      <c r="B100" s="13" t="n">
        <v>45728</v>
      </c>
      <c r="C100" s="12" t="s">
        <v>21</v>
      </c>
      <c r="D100" s="12" t="s">
        <v>27</v>
      </c>
      <c r="E100" s="12" t="s">
        <v>51</v>
      </c>
      <c r="F100" s="12" t="s">
        <v>29</v>
      </c>
      <c r="G100" s="12" t="n">
        <v>1</v>
      </c>
      <c r="H100" s="14" t="n">
        <v>240.42</v>
      </c>
      <c r="I100" s="15" t="n">
        <v>0</v>
      </c>
      <c r="J100" s="14" t="n">
        <v>22.62</v>
      </c>
    </row>
    <row r="101" customFormat="false" ht="15" hidden="false" customHeight="true" outlineLevel="0" collapsed="false">
      <c r="A101" s="12" t="s">
        <v>138</v>
      </c>
      <c r="B101" s="13" t="n">
        <v>45728</v>
      </c>
      <c r="C101" s="12" t="s">
        <v>26</v>
      </c>
      <c r="D101" s="12" t="s">
        <v>22</v>
      </c>
      <c r="E101" s="12" t="s">
        <v>45</v>
      </c>
      <c r="F101" s="12" t="s">
        <v>29</v>
      </c>
      <c r="G101" s="12" t="n">
        <v>6</v>
      </c>
      <c r="H101" s="14" t="n">
        <v>206.88</v>
      </c>
      <c r="I101" s="15" t="n">
        <v>0.4</v>
      </c>
      <c r="J101" s="14" t="n">
        <v>-72.94</v>
      </c>
    </row>
    <row r="102" customFormat="false" ht="15" hidden="false" customHeight="true" outlineLevel="0" collapsed="false">
      <c r="A102" s="12" t="s">
        <v>139</v>
      </c>
      <c r="B102" s="13" t="n">
        <v>45729</v>
      </c>
      <c r="C102" s="12" t="s">
        <v>26</v>
      </c>
      <c r="D102" s="12" t="s">
        <v>27</v>
      </c>
      <c r="E102" s="12" t="s">
        <v>51</v>
      </c>
      <c r="F102" s="12" t="s">
        <v>29</v>
      </c>
      <c r="G102" s="12" t="n">
        <v>1</v>
      </c>
      <c r="H102" s="14" t="n">
        <v>213.27</v>
      </c>
      <c r="I102" s="15" t="n">
        <v>0.4</v>
      </c>
      <c r="J102" s="14" t="n">
        <v>-73.68</v>
      </c>
    </row>
    <row r="103" customFormat="false" ht="15" hidden="false" customHeight="true" outlineLevel="0" collapsed="false">
      <c r="A103" s="12" t="s">
        <v>140</v>
      </c>
      <c r="B103" s="13" t="n">
        <v>45730</v>
      </c>
      <c r="C103" s="12" t="s">
        <v>21</v>
      </c>
      <c r="D103" s="12" t="s">
        <v>22</v>
      </c>
      <c r="E103" s="12" t="s">
        <v>23</v>
      </c>
      <c r="F103" s="12" t="s">
        <v>29</v>
      </c>
      <c r="G103" s="12" t="n">
        <v>2</v>
      </c>
      <c r="H103" s="14" t="n">
        <v>71.32</v>
      </c>
      <c r="I103" s="15" t="n">
        <v>0</v>
      </c>
      <c r="J103" s="14" t="n">
        <v>10.07</v>
      </c>
    </row>
    <row r="104" customFormat="false" ht="15" hidden="false" customHeight="true" outlineLevel="0" collapsed="false">
      <c r="A104" s="12" t="s">
        <v>141</v>
      </c>
      <c r="B104" s="13" t="n">
        <v>45730</v>
      </c>
      <c r="C104" s="12" t="s">
        <v>39</v>
      </c>
      <c r="D104" s="12" t="s">
        <v>22</v>
      </c>
      <c r="E104" s="12" t="s">
        <v>23</v>
      </c>
      <c r="F104" s="12" t="s">
        <v>35</v>
      </c>
      <c r="G104" s="12" t="n">
        <v>6</v>
      </c>
      <c r="H104" s="14" t="n">
        <v>226.54</v>
      </c>
      <c r="I104" s="15" t="n">
        <v>0.1</v>
      </c>
      <c r="J104" s="14" t="n">
        <v>-7.76</v>
      </c>
    </row>
    <row r="105" customFormat="false" ht="15" hidden="false" customHeight="true" outlineLevel="0" collapsed="false">
      <c r="A105" s="12" t="s">
        <v>142</v>
      </c>
      <c r="B105" s="13" t="n">
        <v>45731</v>
      </c>
      <c r="C105" s="12" t="s">
        <v>34</v>
      </c>
      <c r="D105" s="12" t="s">
        <v>22</v>
      </c>
      <c r="E105" s="12" t="s">
        <v>48</v>
      </c>
      <c r="F105" s="12" t="s">
        <v>24</v>
      </c>
      <c r="G105" s="12" t="n">
        <v>4</v>
      </c>
      <c r="H105" s="14" t="n">
        <v>142.24</v>
      </c>
      <c r="I105" s="15" t="n">
        <v>0</v>
      </c>
      <c r="J105" s="14" t="n">
        <v>32.84</v>
      </c>
    </row>
    <row r="106" customFormat="false" ht="15" hidden="false" customHeight="true" outlineLevel="0" collapsed="false">
      <c r="A106" s="12" t="s">
        <v>143</v>
      </c>
      <c r="B106" s="13" t="n">
        <v>45731</v>
      </c>
      <c r="C106" s="12" t="s">
        <v>34</v>
      </c>
      <c r="D106" s="12" t="s">
        <v>27</v>
      </c>
      <c r="E106" s="12" t="s">
        <v>28</v>
      </c>
      <c r="F106" s="12" t="s">
        <v>29</v>
      </c>
      <c r="G106" s="12" t="n">
        <v>7</v>
      </c>
      <c r="H106" s="14" t="n">
        <v>1585.26</v>
      </c>
      <c r="I106" s="15" t="n">
        <v>0.1</v>
      </c>
      <c r="J106" s="14" t="n">
        <v>-121.43</v>
      </c>
    </row>
    <row r="107" customFormat="false" ht="15" hidden="false" customHeight="true" outlineLevel="0" collapsed="false">
      <c r="A107" s="12" t="s">
        <v>144</v>
      </c>
      <c r="B107" s="13" t="n">
        <v>45731</v>
      </c>
      <c r="C107" s="12" t="s">
        <v>21</v>
      </c>
      <c r="D107" s="12" t="s">
        <v>31</v>
      </c>
      <c r="E107" s="12" t="s">
        <v>37</v>
      </c>
      <c r="F107" s="12" t="s">
        <v>29</v>
      </c>
      <c r="G107" s="12" t="n">
        <v>6</v>
      </c>
      <c r="H107" s="14" t="n">
        <v>2534.97</v>
      </c>
      <c r="I107" s="15" t="n">
        <v>0</v>
      </c>
      <c r="J107" s="14" t="n">
        <v>749.94</v>
      </c>
    </row>
    <row r="108" customFormat="false" ht="15" hidden="false" customHeight="true" outlineLevel="0" collapsed="false">
      <c r="A108" s="12" t="s">
        <v>145</v>
      </c>
      <c r="B108" s="13" t="n">
        <v>45731</v>
      </c>
      <c r="C108" s="12" t="s">
        <v>34</v>
      </c>
      <c r="D108" s="12" t="s">
        <v>22</v>
      </c>
      <c r="E108" s="12" t="s">
        <v>45</v>
      </c>
      <c r="F108" s="12" t="s">
        <v>29</v>
      </c>
      <c r="G108" s="12" t="n">
        <v>5</v>
      </c>
      <c r="H108" s="14" t="n">
        <v>182.23</v>
      </c>
      <c r="I108" s="15" t="n">
        <v>0</v>
      </c>
      <c r="J108" s="14" t="n">
        <v>52.3</v>
      </c>
    </row>
    <row r="109" customFormat="false" ht="15" hidden="false" customHeight="true" outlineLevel="0" collapsed="false">
      <c r="A109" s="12" t="s">
        <v>146</v>
      </c>
      <c r="B109" s="13" t="n">
        <v>45732</v>
      </c>
      <c r="C109" s="12" t="s">
        <v>26</v>
      </c>
      <c r="D109" s="12" t="s">
        <v>27</v>
      </c>
      <c r="E109" s="12" t="s">
        <v>43</v>
      </c>
      <c r="F109" s="12" t="s">
        <v>29</v>
      </c>
      <c r="G109" s="12" t="n">
        <v>7</v>
      </c>
      <c r="H109" s="14" t="n">
        <v>2013.66</v>
      </c>
      <c r="I109" s="15" t="n">
        <v>0</v>
      </c>
      <c r="J109" s="14" t="n">
        <v>-105.67</v>
      </c>
    </row>
    <row r="110" customFormat="false" ht="15" hidden="false" customHeight="true" outlineLevel="0" collapsed="false">
      <c r="A110" s="12" t="s">
        <v>147</v>
      </c>
      <c r="B110" s="13" t="n">
        <v>45733</v>
      </c>
      <c r="C110" s="12" t="s">
        <v>21</v>
      </c>
      <c r="D110" s="12" t="s">
        <v>22</v>
      </c>
      <c r="E110" s="12" t="s">
        <v>48</v>
      </c>
      <c r="F110" s="12" t="s">
        <v>24</v>
      </c>
      <c r="G110" s="12" t="n">
        <v>6</v>
      </c>
      <c r="H110" s="14" t="n">
        <v>173.1</v>
      </c>
      <c r="I110" s="15" t="n">
        <v>0.4</v>
      </c>
      <c r="J110" s="14" t="n">
        <v>-20.34</v>
      </c>
    </row>
    <row r="111" customFormat="false" ht="15" hidden="false" customHeight="true" outlineLevel="0" collapsed="false">
      <c r="A111" s="12" t="s">
        <v>148</v>
      </c>
      <c r="B111" s="13" t="n">
        <v>45734</v>
      </c>
      <c r="C111" s="12" t="s">
        <v>21</v>
      </c>
      <c r="D111" s="12" t="s">
        <v>22</v>
      </c>
      <c r="E111" s="12" t="s">
        <v>45</v>
      </c>
      <c r="F111" s="12" t="s">
        <v>24</v>
      </c>
      <c r="G111" s="12" t="n">
        <v>7</v>
      </c>
      <c r="H111" s="14" t="n">
        <v>177.71</v>
      </c>
      <c r="I111" s="15" t="n">
        <v>0</v>
      </c>
      <c r="J111" s="14" t="n">
        <v>44.61</v>
      </c>
    </row>
    <row r="112" customFormat="false" ht="15" hidden="false" customHeight="true" outlineLevel="0" collapsed="false">
      <c r="A112" s="12" t="s">
        <v>149</v>
      </c>
      <c r="B112" s="13" t="n">
        <v>45735</v>
      </c>
      <c r="C112" s="12" t="s">
        <v>26</v>
      </c>
      <c r="D112" s="12" t="s">
        <v>22</v>
      </c>
      <c r="E112" s="12" t="s">
        <v>45</v>
      </c>
      <c r="F112" s="12" t="s">
        <v>35</v>
      </c>
      <c r="G112" s="12" t="n">
        <v>1</v>
      </c>
      <c r="H112" s="14" t="n">
        <v>41.87</v>
      </c>
      <c r="I112" s="15" t="n">
        <v>0</v>
      </c>
      <c r="J112" s="14" t="n">
        <v>5.99</v>
      </c>
    </row>
    <row r="113" customFormat="false" ht="15" hidden="false" customHeight="true" outlineLevel="0" collapsed="false">
      <c r="A113" s="12" t="s">
        <v>150</v>
      </c>
      <c r="B113" s="13" t="n">
        <v>45736</v>
      </c>
      <c r="C113" s="12" t="s">
        <v>34</v>
      </c>
      <c r="D113" s="12" t="s">
        <v>31</v>
      </c>
      <c r="E113" s="12" t="s">
        <v>37</v>
      </c>
      <c r="F113" s="12" t="s">
        <v>35</v>
      </c>
      <c r="G113" s="12" t="n">
        <v>7</v>
      </c>
      <c r="H113" s="14" t="n">
        <v>3259.2</v>
      </c>
      <c r="I113" s="15" t="n">
        <v>0</v>
      </c>
      <c r="J113" s="14" t="n">
        <v>842.46</v>
      </c>
    </row>
    <row r="114" customFormat="false" ht="15" hidden="false" customHeight="true" outlineLevel="0" collapsed="false">
      <c r="A114" s="12" t="s">
        <v>151</v>
      </c>
      <c r="B114" s="13" t="n">
        <v>45736</v>
      </c>
      <c r="C114" s="12" t="s">
        <v>34</v>
      </c>
      <c r="D114" s="12" t="s">
        <v>27</v>
      </c>
      <c r="E114" s="12" t="s">
        <v>43</v>
      </c>
      <c r="F114" s="12" t="s">
        <v>24</v>
      </c>
      <c r="G114" s="12" t="n">
        <v>6</v>
      </c>
      <c r="H114" s="14" t="n">
        <v>2291.44</v>
      </c>
      <c r="I114" s="15" t="n">
        <v>0</v>
      </c>
      <c r="J114" s="14" t="n">
        <v>-52.87</v>
      </c>
    </row>
    <row r="115" customFormat="false" ht="15" hidden="false" customHeight="true" outlineLevel="0" collapsed="false">
      <c r="A115" s="12" t="s">
        <v>152</v>
      </c>
      <c r="B115" s="13" t="n">
        <v>45736</v>
      </c>
      <c r="C115" s="12" t="s">
        <v>34</v>
      </c>
      <c r="D115" s="12" t="s">
        <v>27</v>
      </c>
      <c r="E115" s="12" t="s">
        <v>28</v>
      </c>
      <c r="F115" s="12" t="s">
        <v>35</v>
      </c>
      <c r="G115" s="12" t="n">
        <v>5</v>
      </c>
      <c r="H115" s="14" t="n">
        <v>898.29</v>
      </c>
      <c r="I115" s="15" t="n">
        <v>0</v>
      </c>
      <c r="J115" s="14" t="n">
        <v>36.57</v>
      </c>
    </row>
    <row r="116" customFormat="false" ht="15" hidden="false" customHeight="true" outlineLevel="0" collapsed="false">
      <c r="A116" s="12" t="s">
        <v>153</v>
      </c>
      <c r="B116" s="13" t="n">
        <v>45737</v>
      </c>
      <c r="C116" s="12" t="s">
        <v>21</v>
      </c>
      <c r="D116" s="12" t="s">
        <v>22</v>
      </c>
      <c r="E116" s="12" t="s">
        <v>45</v>
      </c>
      <c r="F116" s="12" t="s">
        <v>24</v>
      </c>
      <c r="G116" s="12" t="n">
        <v>4</v>
      </c>
      <c r="H116" s="14" t="n">
        <v>94.32</v>
      </c>
      <c r="I116" s="15" t="n">
        <v>0.4</v>
      </c>
      <c r="J116" s="14" t="n">
        <v>-19.56</v>
      </c>
    </row>
    <row r="117" customFormat="false" ht="15" hidden="false" customHeight="true" outlineLevel="0" collapsed="false">
      <c r="A117" s="12" t="s">
        <v>154</v>
      </c>
      <c r="B117" s="13" t="n">
        <v>45738</v>
      </c>
      <c r="C117" s="12" t="s">
        <v>26</v>
      </c>
      <c r="D117" s="12" t="s">
        <v>27</v>
      </c>
      <c r="E117" s="12" t="s">
        <v>43</v>
      </c>
      <c r="F117" s="12" t="s">
        <v>35</v>
      </c>
      <c r="G117" s="12" t="n">
        <v>1</v>
      </c>
      <c r="H117" s="14" t="n">
        <v>227.09</v>
      </c>
      <c r="I117" s="15" t="n">
        <v>0</v>
      </c>
      <c r="J117" s="14" t="n">
        <v>9.49</v>
      </c>
    </row>
    <row r="118" customFormat="false" ht="15" hidden="false" customHeight="true" outlineLevel="0" collapsed="false">
      <c r="A118" s="12" t="s">
        <v>155</v>
      </c>
      <c r="B118" s="13" t="n">
        <v>45739</v>
      </c>
      <c r="C118" s="12" t="s">
        <v>34</v>
      </c>
      <c r="D118" s="12" t="s">
        <v>27</v>
      </c>
      <c r="E118" s="12" t="s">
        <v>28</v>
      </c>
      <c r="F118" s="12" t="s">
        <v>24</v>
      </c>
      <c r="G118" s="12" t="n">
        <v>4</v>
      </c>
      <c r="H118" s="14" t="n">
        <v>621.55</v>
      </c>
      <c r="I118" s="15" t="n">
        <v>0.2</v>
      </c>
      <c r="J118" s="14" t="n">
        <v>-106.35</v>
      </c>
    </row>
    <row r="119" customFormat="false" ht="15" hidden="false" customHeight="true" outlineLevel="0" collapsed="false">
      <c r="A119" s="12" t="s">
        <v>156</v>
      </c>
      <c r="B119" s="13" t="n">
        <v>45739</v>
      </c>
      <c r="C119" s="12" t="s">
        <v>39</v>
      </c>
      <c r="D119" s="12" t="s">
        <v>22</v>
      </c>
      <c r="E119" s="12" t="s">
        <v>23</v>
      </c>
      <c r="F119" s="12" t="s">
        <v>29</v>
      </c>
      <c r="G119" s="12" t="n">
        <v>7</v>
      </c>
      <c r="H119" s="14" t="n">
        <v>199.81</v>
      </c>
      <c r="I119" s="15" t="n">
        <v>0.1</v>
      </c>
      <c r="J119" s="14" t="n">
        <v>14.75</v>
      </c>
    </row>
    <row r="120" customFormat="false" ht="15" hidden="false" customHeight="true" outlineLevel="0" collapsed="false">
      <c r="A120" s="12" t="s">
        <v>157</v>
      </c>
      <c r="B120" s="13" t="n">
        <v>45740</v>
      </c>
      <c r="C120" s="12" t="s">
        <v>39</v>
      </c>
      <c r="D120" s="12" t="s">
        <v>27</v>
      </c>
      <c r="E120" s="12" t="s">
        <v>43</v>
      </c>
      <c r="F120" s="12" t="s">
        <v>35</v>
      </c>
      <c r="G120" s="12" t="n">
        <v>3</v>
      </c>
      <c r="H120" s="14" t="n">
        <v>752.31</v>
      </c>
      <c r="I120" s="15" t="n">
        <v>0</v>
      </c>
      <c r="J120" s="14" t="n">
        <v>54.9</v>
      </c>
    </row>
    <row r="121" customFormat="false" ht="15" hidden="false" customHeight="true" outlineLevel="0" collapsed="false">
      <c r="A121" s="12" t="s">
        <v>158</v>
      </c>
      <c r="B121" s="13" t="n">
        <v>45740</v>
      </c>
      <c r="C121" s="12" t="s">
        <v>26</v>
      </c>
      <c r="D121" s="12" t="s">
        <v>27</v>
      </c>
      <c r="E121" s="12" t="s">
        <v>28</v>
      </c>
      <c r="F121" s="12" t="s">
        <v>35</v>
      </c>
      <c r="G121" s="12" t="n">
        <v>7</v>
      </c>
      <c r="H121" s="14" t="n">
        <v>1435.8</v>
      </c>
      <c r="I121" s="15" t="n">
        <v>0.2</v>
      </c>
      <c r="J121" s="14" t="n">
        <v>-299.52</v>
      </c>
    </row>
    <row r="122" customFormat="false" ht="15" hidden="false" customHeight="true" outlineLevel="0" collapsed="false">
      <c r="A122" s="12" t="s">
        <v>159</v>
      </c>
      <c r="B122" s="13" t="n">
        <v>45741</v>
      </c>
      <c r="C122" s="12" t="s">
        <v>21</v>
      </c>
      <c r="D122" s="12" t="s">
        <v>27</v>
      </c>
      <c r="E122" s="12" t="s">
        <v>51</v>
      </c>
      <c r="F122" s="12" t="s">
        <v>35</v>
      </c>
      <c r="G122" s="12" t="n">
        <v>4</v>
      </c>
      <c r="H122" s="14" t="n">
        <v>661.81</v>
      </c>
      <c r="I122" s="15" t="n">
        <v>0</v>
      </c>
      <c r="J122" s="14" t="n">
        <v>17.07</v>
      </c>
    </row>
    <row r="123" customFormat="false" ht="15" hidden="false" customHeight="true" outlineLevel="0" collapsed="false">
      <c r="A123" s="12" t="s">
        <v>160</v>
      </c>
      <c r="B123" s="13" t="n">
        <v>45741</v>
      </c>
      <c r="C123" s="12" t="s">
        <v>39</v>
      </c>
      <c r="D123" s="12" t="s">
        <v>31</v>
      </c>
      <c r="E123" s="12" t="s">
        <v>41</v>
      </c>
      <c r="F123" s="12" t="s">
        <v>35</v>
      </c>
      <c r="G123" s="12" t="n">
        <v>6</v>
      </c>
      <c r="H123" s="14" t="n">
        <v>1244.95</v>
      </c>
      <c r="I123" s="15" t="n">
        <v>0.3</v>
      </c>
      <c r="J123" s="14" t="n">
        <v>-17.31</v>
      </c>
    </row>
    <row r="124" customFormat="false" ht="15" hidden="false" customHeight="true" outlineLevel="0" collapsed="false">
      <c r="A124" s="12" t="s">
        <v>161</v>
      </c>
      <c r="B124" s="13" t="n">
        <v>45742</v>
      </c>
      <c r="C124" s="12" t="s">
        <v>34</v>
      </c>
      <c r="D124" s="12" t="s">
        <v>31</v>
      </c>
      <c r="E124" s="12" t="s">
        <v>41</v>
      </c>
      <c r="F124" s="12" t="s">
        <v>35</v>
      </c>
      <c r="G124" s="12" t="n">
        <v>2</v>
      </c>
      <c r="H124" s="14" t="n">
        <v>746.39</v>
      </c>
      <c r="I124" s="15" t="n">
        <v>0.2</v>
      </c>
      <c r="J124" s="14" t="n">
        <v>38.15</v>
      </c>
    </row>
    <row r="125" customFormat="false" ht="15" hidden="false" customHeight="true" outlineLevel="0" collapsed="false">
      <c r="A125" s="12" t="s">
        <v>162</v>
      </c>
      <c r="B125" s="13" t="n">
        <v>45743</v>
      </c>
      <c r="C125" s="12" t="s">
        <v>21</v>
      </c>
      <c r="D125" s="12" t="s">
        <v>27</v>
      </c>
      <c r="E125" s="12" t="s">
        <v>43</v>
      </c>
      <c r="F125" s="12" t="s">
        <v>29</v>
      </c>
      <c r="G125" s="12" t="n">
        <v>6</v>
      </c>
      <c r="H125" s="14" t="n">
        <v>1337.61</v>
      </c>
      <c r="I125" s="15" t="n">
        <v>0</v>
      </c>
      <c r="J125" s="14" t="n">
        <v>-102.13</v>
      </c>
    </row>
    <row r="126" customFormat="false" ht="15" hidden="false" customHeight="true" outlineLevel="0" collapsed="false">
      <c r="A126" s="12" t="s">
        <v>163</v>
      </c>
      <c r="B126" s="13" t="n">
        <v>45743</v>
      </c>
      <c r="C126" s="12" t="s">
        <v>26</v>
      </c>
      <c r="D126" s="12" t="s">
        <v>27</v>
      </c>
      <c r="E126" s="12" t="s">
        <v>28</v>
      </c>
      <c r="F126" s="12" t="s">
        <v>35</v>
      </c>
      <c r="G126" s="12" t="n">
        <v>7</v>
      </c>
      <c r="H126" s="14" t="n">
        <v>2152.42</v>
      </c>
      <c r="I126" s="15" t="n">
        <v>0.2</v>
      </c>
      <c r="J126" s="14" t="n">
        <v>-667.82</v>
      </c>
    </row>
    <row r="127" customFormat="false" ht="15" hidden="false" customHeight="true" outlineLevel="0" collapsed="false">
      <c r="A127" s="12" t="s">
        <v>164</v>
      </c>
      <c r="B127" s="13" t="n">
        <v>45744</v>
      </c>
      <c r="C127" s="12" t="s">
        <v>26</v>
      </c>
      <c r="D127" s="12" t="s">
        <v>27</v>
      </c>
      <c r="E127" s="12" t="s">
        <v>28</v>
      </c>
      <c r="F127" s="12" t="s">
        <v>24</v>
      </c>
      <c r="G127" s="12" t="n">
        <v>3</v>
      </c>
      <c r="H127" s="14" t="n">
        <v>989.14</v>
      </c>
      <c r="I127" s="15" t="n">
        <v>0.1</v>
      </c>
      <c r="J127" s="14" t="n">
        <v>-65.6</v>
      </c>
    </row>
    <row r="128" customFormat="false" ht="15" hidden="false" customHeight="true" outlineLevel="0" collapsed="false">
      <c r="A128" s="12" t="s">
        <v>165</v>
      </c>
      <c r="B128" s="13" t="n">
        <v>45747</v>
      </c>
      <c r="C128" s="12" t="s">
        <v>34</v>
      </c>
      <c r="D128" s="12" t="s">
        <v>22</v>
      </c>
      <c r="E128" s="12" t="s">
        <v>23</v>
      </c>
      <c r="F128" s="12" t="s">
        <v>29</v>
      </c>
      <c r="G128" s="12" t="n">
        <v>4</v>
      </c>
      <c r="H128" s="14" t="n">
        <v>148.07</v>
      </c>
      <c r="I128" s="15" t="n">
        <v>0</v>
      </c>
      <c r="J128" s="14" t="n">
        <v>38.86</v>
      </c>
    </row>
    <row r="129" customFormat="false" ht="15" hidden="false" customHeight="true" outlineLevel="0" collapsed="false">
      <c r="A129" s="12" t="s">
        <v>166</v>
      </c>
      <c r="B129" s="13" t="n">
        <v>45748</v>
      </c>
      <c r="C129" s="12" t="s">
        <v>26</v>
      </c>
      <c r="D129" s="12" t="s">
        <v>27</v>
      </c>
      <c r="E129" s="12" t="s">
        <v>43</v>
      </c>
      <c r="F129" s="12" t="s">
        <v>29</v>
      </c>
      <c r="G129" s="12" t="n">
        <v>2</v>
      </c>
      <c r="H129" s="14" t="n">
        <v>359.11</v>
      </c>
      <c r="I129" s="15" t="n">
        <v>0.4</v>
      </c>
      <c r="J129" s="14" t="n">
        <v>-156.98</v>
      </c>
    </row>
    <row r="130" customFormat="false" ht="15" hidden="false" customHeight="true" outlineLevel="0" collapsed="false">
      <c r="A130" s="12" t="s">
        <v>167</v>
      </c>
      <c r="B130" s="13" t="n">
        <v>45748</v>
      </c>
      <c r="C130" s="12" t="s">
        <v>21</v>
      </c>
      <c r="D130" s="12" t="s">
        <v>27</v>
      </c>
      <c r="E130" s="12" t="s">
        <v>28</v>
      </c>
      <c r="F130" s="12" t="s">
        <v>29</v>
      </c>
      <c r="G130" s="12" t="n">
        <v>2</v>
      </c>
      <c r="H130" s="14" t="n">
        <v>442.7</v>
      </c>
      <c r="I130" s="15" t="n">
        <v>0.2</v>
      </c>
      <c r="J130" s="14" t="n">
        <v>-119.75</v>
      </c>
    </row>
    <row r="131" customFormat="false" ht="15" hidden="false" customHeight="true" outlineLevel="0" collapsed="false">
      <c r="A131" s="12" t="s">
        <v>168</v>
      </c>
      <c r="B131" s="13" t="n">
        <v>45749</v>
      </c>
      <c r="C131" s="12" t="s">
        <v>39</v>
      </c>
      <c r="D131" s="12" t="s">
        <v>27</v>
      </c>
      <c r="E131" s="12" t="s">
        <v>28</v>
      </c>
      <c r="F131" s="12" t="s">
        <v>29</v>
      </c>
      <c r="G131" s="12" t="n">
        <v>7</v>
      </c>
      <c r="H131" s="14" t="n">
        <v>1411.61</v>
      </c>
      <c r="I131" s="15" t="n">
        <v>0</v>
      </c>
      <c r="J131" s="14" t="n">
        <v>20.8</v>
      </c>
    </row>
    <row r="132" customFormat="false" ht="15" hidden="false" customHeight="true" outlineLevel="0" collapsed="false">
      <c r="A132" s="12" t="s">
        <v>169</v>
      </c>
      <c r="B132" s="13" t="n">
        <v>45750</v>
      </c>
      <c r="C132" s="12" t="s">
        <v>26</v>
      </c>
      <c r="D132" s="12" t="s">
        <v>31</v>
      </c>
      <c r="E132" s="12" t="s">
        <v>32</v>
      </c>
      <c r="F132" s="12" t="s">
        <v>29</v>
      </c>
      <c r="G132" s="12" t="n">
        <v>4</v>
      </c>
      <c r="H132" s="14" t="n">
        <v>1331.09</v>
      </c>
      <c r="I132" s="15" t="n">
        <v>0.4</v>
      </c>
      <c r="J132" s="14" t="n">
        <v>-330.64</v>
      </c>
    </row>
    <row r="133" customFormat="false" ht="15" hidden="false" customHeight="true" outlineLevel="0" collapsed="false">
      <c r="A133" s="12" t="s">
        <v>170</v>
      </c>
      <c r="B133" s="13" t="n">
        <v>45751</v>
      </c>
      <c r="C133" s="12" t="s">
        <v>34</v>
      </c>
      <c r="D133" s="12" t="s">
        <v>31</v>
      </c>
      <c r="E133" s="12" t="s">
        <v>37</v>
      </c>
      <c r="F133" s="12" t="s">
        <v>29</v>
      </c>
      <c r="G133" s="12" t="n">
        <v>4</v>
      </c>
      <c r="H133" s="14" t="n">
        <v>1670.02</v>
      </c>
      <c r="I133" s="15" t="n">
        <v>0</v>
      </c>
      <c r="J133" s="14" t="n">
        <v>498.6</v>
      </c>
    </row>
    <row r="134" customFormat="false" ht="15" hidden="false" customHeight="true" outlineLevel="0" collapsed="false">
      <c r="A134" s="12" t="s">
        <v>171</v>
      </c>
      <c r="B134" s="13" t="n">
        <v>45751</v>
      </c>
      <c r="C134" s="12" t="s">
        <v>34</v>
      </c>
      <c r="D134" s="12" t="s">
        <v>22</v>
      </c>
      <c r="E134" s="12" t="s">
        <v>45</v>
      </c>
      <c r="F134" s="12" t="s">
        <v>29</v>
      </c>
      <c r="G134" s="12" t="n">
        <v>6</v>
      </c>
      <c r="H134" s="14" t="n">
        <v>213.28</v>
      </c>
      <c r="I134" s="15" t="n">
        <v>0</v>
      </c>
      <c r="J134" s="14" t="n">
        <v>32.94</v>
      </c>
    </row>
    <row r="135" customFormat="false" ht="15" hidden="false" customHeight="true" outlineLevel="0" collapsed="false">
      <c r="A135" s="12" t="s">
        <v>172</v>
      </c>
      <c r="B135" s="13" t="n">
        <v>45751</v>
      </c>
      <c r="C135" s="12" t="s">
        <v>39</v>
      </c>
      <c r="D135" s="12" t="s">
        <v>22</v>
      </c>
      <c r="E135" s="12" t="s">
        <v>48</v>
      </c>
      <c r="F135" s="12" t="s">
        <v>24</v>
      </c>
      <c r="G135" s="12" t="n">
        <v>7</v>
      </c>
      <c r="H135" s="14" t="n">
        <v>404.04</v>
      </c>
      <c r="I135" s="15" t="n">
        <v>0</v>
      </c>
      <c r="J135" s="14" t="n">
        <v>49.92</v>
      </c>
    </row>
    <row r="136" customFormat="false" ht="15" hidden="false" customHeight="true" outlineLevel="0" collapsed="false">
      <c r="A136" s="12" t="s">
        <v>173</v>
      </c>
      <c r="B136" s="13" t="n">
        <v>45752</v>
      </c>
      <c r="C136" s="12" t="s">
        <v>34</v>
      </c>
      <c r="D136" s="12" t="s">
        <v>27</v>
      </c>
      <c r="E136" s="12" t="s">
        <v>43</v>
      </c>
      <c r="F136" s="12" t="s">
        <v>24</v>
      </c>
      <c r="G136" s="12" t="n">
        <v>4</v>
      </c>
      <c r="H136" s="14" t="n">
        <v>1032.72</v>
      </c>
      <c r="I136" s="15" t="n">
        <v>0</v>
      </c>
      <c r="J136" s="14" t="n">
        <v>-54.08</v>
      </c>
    </row>
    <row r="137" customFormat="false" ht="15" hidden="false" customHeight="true" outlineLevel="0" collapsed="false">
      <c r="A137" s="12" t="s">
        <v>174</v>
      </c>
      <c r="B137" s="13" t="n">
        <v>45752</v>
      </c>
      <c r="C137" s="12" t="s">
        <v>34</v>
      </c>
      <c r="D137" s="12" t="s">
        <v>22</v>
      </c>
      <c r="E137" s="12" t="s">
        <v>23</v>
      </c>
      <c r="F137" s="12" t="s">
        <v>29</v>
      </c>
      <c r="G137" s="12" t="n">
        <v>6</v>
      </c>
      <c r="H137" s="14" t="n">
        <v>154.59</v>
      </c>
      <c r="I137" s="15" t="n">
        <v>0.2</v>
      </c>
      <c r="J137" s="14" t="n">
        <v>1.98</v>
      </c>
    </row>
    <row r="138" customFormat="false" ht="15" hidden="false" customHeight="true" outlineLevel="0" collapsed="false">
      <c r="A138" s="12" t="s">
        <v>175</v>
      </c>
      <c r="B138" s="13" t="n">
        <v>45753</v>
      </c>
      <c r="C138" s="12" t="s">
        <v>34</v>
      </c>
      <c r="D138" s="12" t="s">
        <v>27</v>
      </c>
      <c r="E138" s="12" t="s">
        <v>43</v>
      </c>
      <c r="F138" s="12" t="s">
        <v>35</v>
      </c>
      <c r="G138" s="12" t="n">
        <v>7</v>
      </c>
      <c r="H138" s="14" t="n">
        <v>1309.68</v>
      </c>
      <c r="I138" s="15" t="n">
        <v>0.3</v>
      </c>
      <c r="J138" s="14" t="n">
        <v>-307.13</v>
      </c>
    </row>
    <row r="139" customFormat="false" ht="15" hidden="false" customHeight="true" outlineLevel="0" collapsed="false">
      <c r="A139" s="12" t="s">
        <v>176</v>
      </c>
      <c r="B139" s="13" t="n">
        <v>45755</v>
      </c>
      <c r="C139" s="12" t="s">
        <v>26</v>
      </c>
      <c r="D139" s="12" t="s">
        <v>22</v>
      </c>
      <c r="E139" s="12" t="s">
        <v>45</v>
      </c>
      <c r="F139" s="12" t="s">
        <v>29</v>
      </c>
      <c r="G139" s="12" t="n">
        <v>4</v>
      </c>
      <c r="H139" s="14" t="n">
        <v>175.44</v>
      </c>
      <c r="I139" s="15" t="n">
        <v>0.2</v>
      </c>
      <c r="J139" s="14" t="n">
        <v>-6.22</v>
      </c>
    </row>
    <row r="140" customFormat="false" ht="15" hidden="false" customHeight="true" outlineLevel="0" collapsed="false">
      <c r="A140" s="12" t="s">
        <v>177</v>
      </c>
      <c r="B140" s="13" t="n">
        <v>45758</v>
      </c>
      <c r="C140" s="12" t="s">
        <v>26</v>
      </c>
      <c r="D140" s="12" t="s">
        <v>22</v>
      </c>
      <c r="E140" s="12" t="s">
        <v>48</v>
      </c>
      <c r="F140" s="12" t="s">
        <v>35</v>
      </c>
      <c r="G140" s="12" t="n">
        <v>5</v>
      </c>
      <c r="H140" s="14" t="n">
        <v>149.41</v>
      </c>
      <c r="I140" s="15" t="n">
        <v>0.2</v>
      </c>
      <c r="J140" s="14" t="n">
        <v>1.41</v>
      </c>
    </row>
    <row r="141" customFormat="false" ht="15" hidden="false" customHeight="true" outlineLevel="0" collapsed="false">
      <c r="A141" s="12" t="s">
        <v>178</v>
      </c>
      <c r="B141" s="13" t="n">
        <v>45759</v>
      </c>
      <c r="C141" s="12" t="s">
        <v>26</v>
      </c>
      <c r="D141" s="12" t="s">
        <v>22</v>
      </c>
      <c r="E141" s="12" t="s">
        <v>48</v>
      </c>
      <c r="F141" s="12" t="s">
        <v>29</v>
      </c>
      <c r="G141" s="12" t="n">
        <v>4</v>
      </c>
      <c r="H141" s="14" t="n">
        <v>203.31</v>
      </c>
      <c r="I141" s="15" t="n">
        <v>0</v>
      </c>
      <c r="J141" s="14" t="n">
        <v>29.58</v>
      </c>
    </row>
    <row r="142" customFormat="false" ht="15" hidden="false" customHeight="true" outlineLevel="0" collapsed="false">
      <c r="A142" s="12" t="s">
        <v>179</v>
      </c>
      <c r="B142" s="13" t="n">
        <v>45763</v>
      </c>
      <c r="C142" s="12" t="s">
        <v>26</v>
      </c>
      <c r="D142" s="12" t="s">
        <v>27</v>
      </c>
      <c r="E142" s="12" t="s">
        <v>43</v>
      </c>
      <c r="F142" s="12" t="s">
        <v>35</v>
      </c>
      <c r="G142" s="12" t="n">
        <v>5</v>
      </c>
      <c r="H142" s="14" t="n">
        <v>989.03</v>
      </c>
      <c r="I142" s="15" t="n">
        <v>0.1</v>
      </c>
      <c r="J142" s="14" t="n">
        <v>-210.52</v>
      </c>
    </row>
    <row r="143" customFormat="false" ht="15" hidden="false" customHeight="true" outlineLevel="0" collapsed="false">
      <c r="A143" s="12" t="s">
        <v>180</v>
      </c>
      <c r="B143" s="13" t="n">
        <v>45763</v>
      </c>
      <c r="C143" s="12" t="s">
        <v>39</v>
      </c>
      <c r="D143" s="12" t="s">
        <v>27</v>
      </c>
      <c r="E143" s="12" t="s">
        <v>51</v>
      </c>
      <c r="F143" s="12" t="s">
        <v>29</v>
      </c>
      <c r="G143" s="12" t="n">
        <v>3</v>
      </c>
      <c r="H143" s="14" t="n">
        <v>978.97</v>
      </c>
      <c r="I143" s="15" t="n">
        <v>0.1</v>
      </c>
      <c r="J143" s="14" t="n">
        <v>-91.54</v>
      </c>
    </row>
    <row r="144" customFormat="false" ht="15" hidden="false" customHeight="true" outlineLevel="0" collapsed="false">
      <c r="A144" s="12" t="s">
        <v>181</v>
      </c>
      <c r="B144" s="13" t="n">
        <v>45764</v>
      </c>
      <c r="C144" s="12" t="s">
        <v>34</v>
      </c>
      <c r="D144" s="12" t="s">
        <v>22</v>
      </c>
      <c r="E144" s="12" t="s">
        <v>23</v>
      </c>
      <c r="F144" s="12" t="s">
        <v>29</v>
      </c>
      <c r="G144" s="12" t="n">
        <v>2</v>
      </c>
      <c r="H144" s="14" t="n">
        <v>58.61</v>
      </c>
      <c r="I144" s="15" t="n">
        <v>0</v>
      </c>
      <c r="J144" s="14" t="n">
        <v>9.92</v>
      </c>
    </row>
    <row r="145" customFormat="false" ht="15" hidden="false" customHeight="true" outlineLevel="0" collapsed="false">
      <c r="A145" s="12" t="s">
        <v>182</v>
      </c>
      <c r="B145" s="13" t="n">
        <v>45765</v>
      </c>
      <c r="C145" s="12" t="s">
        <v>34</v>
      </c>
      <c r="D145" s="12" t="s">
        <v>27</v>
      </c>
      <c r="E145" s="12" t="s">
        <v>51</v>
      </c>
      <c r="F145" s="12" t="s">
        <v>24</v>
      </c>
      <c r="G145" s="12" t="n">
        <v>2</v>
      </c>
      <c r="H145" s="14" t="n">
        <v>537.17</v>
      </c>
      <c r="I145" s="15" t="n">
        <v>0</v>
      </c>
      <c r="J145" s="14" t="n">
        <v>14.04</v>
      </c>
    </row>
    <row r="146" customFormat="false" ht="15" hidden="false" customHeight="true" outlineLevel="0" collapsed="false">
      <c r="A146" s="12" t="s">
        <v>183</v>
      </c>
      <c r="B146" s="13" t="n">
        <v>45765</v>
      </c>
      <c r="C146" s="12" t="s">
        <v>34</v>
      </c>
      <c r="D146" s="12" t="s">
        <v>22</v>
      </c>
      <c r="E146" s="12" t="s">
        <v>45</v>
      </c>
      <c r="F146" s="12" t="s">
        <v>35</v>
      </c>
      <c r="G146" s="12" t="n">
        <v>6</v>
      </c>
      <c r="H146" s="14" t="n">
        <v>196</v>
      </c>
      <c r="I146" s="15" t="n">
        <v>0</v>
      </c>
      <c r="J146" s="14" t="n">
        <v>42.44</v>
      </c>
    </row>
    <row r="147" customFormat="false" ht="15" hidden="false" customHeight="true" outlineLevel="0" collapsed="false">
      <c r="A147" s="12" t="s">
        <v>184</v>
      </c>
      <c r="B147" s="13" t="n">
        <v>45766</v>
      </c>
      <c r="C147" s="12" t="s">
        <v>34</v>
      </c>
      <c r="D147" s="12" t="s">
        <v>22</v>
      </c>
      <c r="E147" s="12" t="s">
        <v>48</v>
      </c>
      <c r="F147" s="12" t="s">
        <v>29</v>
      </c>
      <c r="G147" s="12" t="n">
        <v>7</v>
      </c>
      <c r="H147" s="14" t="n">
        <v>172.96</v>
      </c>
      <c r="I147" s="15" t="n">
        <v>0.3</v>
      </c>
      <c r="J147" s="14" t="n">
        <v>-10.96</v>
      </c>
    </row>
    <row r="148" customFormat="false" ht="15" hidden="false" customHeight="true" outlineLevel="0" collapsed="false">
      <c r="A148" s="12" t="s">
        <v>185</v>
      </c>
      <c r="B148" s="13" t="n">
        <v>45766</v>
      </c>
      <c r="C148" s="12" t="s">
        <v>34</v>
      </c>
      <c r="D148" s="12" t="s">
        <v>27</v>
      </c>
      <c r="E148" s="12" t="s">
        <v>51</v>
      </c>
      <c r="F148" s="12" t="s">
        <v>29</v>
      </c>
      <c r="G148" s="12" t="n">
        <v>4</v>
      </c>
      <c r="H148" s="14" t="n">
        <v>760.4</v>
      </c>
      <c r="I148" s="15" t="n">
        <v>0.1</v>
      </c>
      <c r="J148" s="14" t="n">
        <v>-88.01</v>
      </c>
    </row>
    <row r="149" customFormat="false" ht="15" hidden="false" customHeight="true" outlineLevel="0" collapsed="false">
      <c r="A149" s="12" t="s">
        <v>186</v>
      </c>
      <c r="B149" s="13" t="n">
        <v>45766</v>
      </c>
      <c r="C149" s="12" t="s">
        <v>26</v>
      </c>
      <c r="D149" s="12" t="s">
        <v>22</v>
      </c>
      <c r="E149" s="12" t="s">
        <v>23</v>
      </c>
      <c r="F149" s="12" t="s">
        <v>35</v>
      </c>
      <c r="G149" s="12" t="n">
        <v>5</v>
      </c>
      <c r="H149" s="14" t="n">
        <v>138.26</v>
      </c>
      <c r="I149" s="15" t="n">
        <v>0.4</v>
      </c>
      <c r="J149" s="14" t="n">
        <v>-32.04</v>
      </c>
    </row>
    <row r="150" customFormat="false" ht="15" hidden="false" customHeight="true" outlineLevel="0" collapsed="false">
      <c r="A150" s="12" t="s">
        <v>187</v>
      </c>
      <c r="B150" s="13" t="n">
        <v>45766</v>
      </c>
      <c r="C150" s="12" t="s">
        <v>34</v>
      </c>
      <c r="D150" s="12" t="s">
        <v>31</v>
      </c>
      <c r="E150" s="12" t="s">
        <v>37</v>
      </c>
      <c r="F150" s="12" t="s">
        <v>29</v>
      </c>
      <c r="G150" s="12" t="n">
        <v>6</v>
      </c>
      <c r="H150" s="14" t="n">
        <v>1238.28</v>
      </c>
      <c r="I150" s="15" t="n">
        <v>0.2</v>
      </c>
      <c r="J150" s="14" t="n">
        <v>124.9</v>
      </c>
    </row>
    <row r="151" customFormat="false" ht="15" hidden="false" customHeight="true" outlineLevel="0" collapsed="false">
      <c r="A151" s="12" t="s">
        <v>188</v>
      </c>
      <c r="B151" s="13" t="n">
        <v>45768</v>
      </c>
      <c r="C151" s="12" t="s">
        <v>34</v>
      </c>
      <c r="D151" s="12" t="s">
        <v>22</v>
      </c>
      <c r="E151" s="12" t="s">
        <v>48</v>
      </c>
      <c r="F151" s="12" t="s">
        <v>24</v>
      </c>
      <c r="G151" s="12" t="n">
        <v>5</v>
      </c>
      <c r="H151" s="14" t="n">
        <v>97.69</v>
      </c>
      <c r="I151" s="15" t="n">
        <v>0.3</v>
      </c>
      <c r="J151" s="14" t="n">
        <v>-11.52</v>
      </c>
    </row>
    <row r="152" customFormat="false" ht="15" hidden="false" customHeight="true" outlineLevel="0" collapsed="false">
      <c r="A152" s="12" t="s">
        <v>189</v>
      </c>
      <c r="B152" s="13" t="n">
        <v>45768</v>
      </c>
      <c r="C152" s="12" t="s">
        <v>21</v>
      </c>
      <c r="D152" s="12" t="s">
        <v>31</v>
      </c>
      <c r="E152" s="12" t="s">
        <v>32</v>
      </c>
      <c r="F152" s="12" t="s">
        <v>35</v>
      </c>
      <c r="G152" s="12" t="n">
        <v>6</v>
      </c>
      <c r="H152" s="14" t="n">
        <v>3530.29</v>
      </c>
      <c r="I152" s="15" t="n">
        <v>0</v>
      </c>
      <c r="J152" s="14" t="n">
        <v>818.49</v>
      </c>
    </row>
    <row r="153" customFormat="false" ht="15" hidden="false" customHeight="true" outlineLevel="0" collapsed="false">
      <c r="A153" s="12" t="s">
        <v>190</v>
      </c>
      <c r="B153" s="13" t="n">
        <v>45769</v>
      </c>
      <c r="C153" s="12" t="s">
        <v>26</v>
      </c>
      <c r="D153" s="12" t="s">
        <v>22</v>
      </c>
      <c r="E153" s="12" t="s">
        <v>45</v>
      </c>
      <c r="F153" s="12" t="s">
        <v>35</v>
      </c>
      <c r="G153" s="12" t="n">
        <v>4</v>
      </c>
      <c r="H153" s="14" t="n">
        <v>176.21</v>
      </c>
      <c r="I153" s="15" t="n">
        <v>0</v>
      </c>
      <c r="J153" s="14" t="n">
        <v>29.53</v>
      </c>
    </row>
    <row r="154" customFormat="false" ht="15" hidden="false" customHeight="true" outlineLevel="0" collapsed="false">
      <c r="A154" s="12" t="s">
        <v>191</v>
      </c>
      <c r="B154" s="13" t="n">
        <v>45770</v>
      </c>
      <c r="C154" s="12" t="s">
        <v>39</v>
      </c>
      <c r="D154" s="12" t="s">
        <v>27</v>
      </c>
      <c r="E154" s="12" t="s">
        <v>51</v>
      </c>
      <c r="F154" s="12" t="s">
        <v>35</v>
      </c>
      <c r="G154" s="12" t="n">
        <v>2</v>
      </c>
      <c r="H154" s="14" t="n">
        <v>500.55</v>
      </c>
      <c r="I154" s="15" t="n">
        <v>0</v>
      </c>
      <c r="J154" s="14" t="n">
        <v>-25.74</v>
      </c>
    </row>
    <row r="155" customFormat="false" ht="15" hidden="false" customHeight="true" outlineLevel="0" collapsed="false">
      <c r="A155" s="12" t="s">
        <v>192</v>
      </c>
      <c r="B155" s="13" t="n">
        <v>45770</v>
      </c>
      <c r="C155" s="12" t="s">
        <v>39</v>
      </c>
      <c r="D155" s="12" t="s">
        <v>27</v>
      </c>
      <c r="E155" s="12" t="s">
        <v>28</v>
      </c>
      <c r="F155" s="12" t="s">
        <v>35</v>
      </c>
      <c r="G155" s="12" t="n">
        <v>7</v>
      </c>
      <c r="H155" s="14" t="n">
        <v>2587.96</v>
      </c>
      <c r="I155" s="15" t="n">
        <v>0</v>
      </c>
      <c r="J155" s="14" t="n">
        <v>-33.65</v>
      </c>
    </row>
    <row r="156" customFormat="false" ht="15" hidden="false" customHeight="true" outlineLevel="0" collapsed="false">
      <c r="A156" s="12" t="s">
        <v>193</v>
      </c>
      <c r="B156" s="13" t="n">
        <v>45771</v>
      </c>
      <c r="C156" s="12" t="s">
        <v>39</v>
      </c>
      <c r="D156" s="12" t="s">
        <v>22</v>
      </c>
      <c r="E156" s="12" t="s">
        <v>23</v>
      </c>
      <c r="F156" s="12" t="s">
        <v>29</v>
      </c>
      <c r="G156" s="12" t="n">
        <v>6</v>
      </c>
      <c r="H156" s="14" t="n">
        <v>317.1</v>
      </c>
      <c r="I156" s="15" t="n">
        <v>0.1</v>
      </c>
      <c r="J156" s="14" t="n">
        <v>36.94</v>
      </c>
    </row>
    <row r="157" customFormat="false" ht="15" hidden="false" customHeight="true" outlineLevel="0" collapsed="false">
      <c r="A157" s="12" t="s">
        <v>194</v>
      </c>
      <c r="B157" s="13" t="n">
        <v>45773</v>
      </c>
      <c r="C157" s="12" t="s">
        <v>39</v>
      </c>
      <c r="D157" s="12" t="s">
        <v>22</v>
      </c>
      <c r="E157" s="12" t="s">
        <v>45</v>
      </c>
      <c r="F157" s="12" t="s">
        <v>24</v>
      </c>
      <c r="G157" s="12" t="n">
        <v>5</v>
      </c>
      <c r="H157" s="14" t="n">
        <v>131.67</v>
      </c>
      <c r="I157" s="15" t="n">
        <v>0.3</v>
      </c>
      <c r="J157" s="14" t="n">
        <v>-22.74</v>
      </c>
    </row>
    <row r="158" customFormat="false" ht="15" hidden="false" customHeight="true" outlineLevel="0" collapsed="false">
      <c r="A158" s="12" t="s">
        <v>195</v>
      </c>
      <c r="B158" s="13" t="n">
        <v>45773</v>
      </c>
      <c r="C158" s="12" t="s">
        <v>34</v>
      </c>
      <c r="D158" s="12" t="s">
        <v>27</v>
      </c>
      <c r="E158" s="12" t="s">
        <v>28</v>
      </c>
      <c r="F158" s="12" t="s">
        <v>35</v>
      </c>
      <c r="G158" s="12" t="n">
        <v>1</v>
      </c>
      <c r="H158" s="14" t="n">
        <v>165.04</v>
      </c>
      <c r="I158" s="15" t="n">
        <v>0</v>
      </c>
      <c r="J158" s="14" t="n">
        <v>0.39</v>
      </c>
    </row>
    <row r="159" customFormat="false" ht="15" hidden="false" customHeight="true" outlineLevel="0" collapsed="false">
      <c r="A159" s="12" t="s">
        <v>196</v>
      </c>
      <c r="B159" s="13" t="n">
        <v>45775</v>
      </c>
      <c r="C159" s="12" t="s">
        <v>39</v>
      </c>
      <c r="D159" s="12" t="s">
        <v>31</v>
      </c>
      <c r="E159" s="12" t="s">
        <v>32</v>
      </c>
      <c r="F159" s="12" t="s">
        <v>29</v>
      </c>
      <c r="G159" s="12" t="n">
        <v>3</v>
      </c>
      <c r="H159" s="14" t="n">
        <v>824.13</v>
      </c>
      <c r="I159" s="15" t="n">
        <v>0.3</v>
      </c>
      <c r="J159" s="14" t="n">
        <v>-2.36</v>
      </c>
    </row>
    <row r="160" customFormat="false" ht="15" hidden="false" customHeight="true" outlineLevel="0" collapsed="false">
      <c r="A160" s="12" t="s">
        <v>197</v>
      </c>
      <c r="B160" s="13" t="n">
        <v>45776</v>
      </c>
      <c r="C160" s="12" t="s">
        <v>34</v>
      </c>
      <c r="D160" s="12" t="s">
        <v>27</v>
      </c>
      <c r="E160" s="12" t="s">
        <v>43</v>
      </c>
      <c r="F160" s="12" t="s">
        <v>35</v>
      </c>
      <c r="G160" s="12" t="n">
        <v>3</v>
      </c>
      <c r="H160" s="14" t="n">
        <v>643.2</v>
      </c>
      <c r="I160" s="15" t="n">
        <v>0.3</v>
      </c>
      <c r="J160" s="14" t="n">
        <v>-155.08</v>
      </c>
    </row>
    <row r="161" customFormat="false" ht="15" hidden="false" customHeight="true" outlineLevel="0" collapsed="false">
      <c r="A161" s="12" t="s">
        <v>198</v>
      </c>
      <c r="B161" s="13" t="n">
        <v>45779</v>
      </c>
      <c r="C161" s="12" t="s">
        <v>34</v>
      </c>
      <c r="D161" s="12" t="s">
        <v>22</v>
      </c>
      <c r="E161" s="12" t="s">
        <v>23</v>
      </c>
      <c r="F161" s="12" t="s">
        <v>35</v>
      </c>
      <c r="G161" s="12" t="n">
        <v>1</v>
      </c>
      <c r="H161" s="14" t="n">
        <v>50.27</v>
      </c>
      <c r="I161" s="15" t="n">
        <v>0</v>
      </c>
      <c r="J161" s="14" t="n">
        <v>9.92</v>
      </c>
    </row>
    <row r="162" customFormat="false" ht="15" hidden="false" customHeight="true" outlineLevel="0" collapsed="false">
      <c r="A162" s="12" t="s">
        <v>199</v>
      </c>
      <c r="B162" s="13" t="n">
        <v>45780</v>
      </c>
      <c r="C162" s="12" t="s">
        <v>39</v>
      </c>
      <c r="D162" s="12" t="s">
        <v>27</v>
      </c>
      <c r="E162" s="12" t="s">
        <v>43</v>
      </c>
      <c r="F162" s="12" t="s">
        <v>29</v>
      </c>
      <c r="G162" s="12" t="n">
        <v>4</v>
      </c>
      <c r="H162" s="14" t="n">
        <v>1058.14</v>
      </c>
      <c r="I162" s="15" t="n">
        <v>0</v>
      </c>
      <c r="J162" s="14" t="n">
        <v>-10.83</v>
      </c>
    </row>
    <row r="163" customFormat="false" ht="15" hidden="false" customHeight="true" outlineLevel="0" collapsed="false">
      <c r="A163" s="12" t="s">
        <v>200</v>
      </c>
      <c r="B163" s="13" t="n">
        <v>45781</v>
      </c>
      <c r="C163" s="12" t="s">
        <v>26</v>
      </c>
      <c r="D163" s="12" t="s">
        <v>31</v>
      </c>
      <c r="E163" s="12" t="s">
        <v>32</v>
      </c>
      <c r="F163" s="12" t="s">
        <v>29</v>
      </c>
      <c r="G163" s="12" t="n">
        <v>5</v>
      </c>
      <c r="H163" s="14" t="n">
        <v>1741.44</v>
      </c>
      <c r="I163" s="15" t="n">
        <v>0</v>
      </c>
      <c r="J163" s="14" t="n">
        <v>337.72</v>
      </c>
    </row>
    <row r="164" customFormat="false" ht="15" hidden="false" customHeight="true" outlineLevel="0" collapsed="false">
      <c r="A164" s="12" t="s">
        <v>201</v>
      </c>
      <c r="B164" s="13" t="n">
        <v>45781</v>
      </c>
      <c r="C164" s="12" t="s">
        <v>39</v>
      </c>
      <c r="D164" s="12" t="s">
        <v>31</v>
      </c>
      <c r="E164" s="12" t="s">
        <v>37</v>
      </c>
      <c r="F164" s="12" t="s">
        <v>35</v>
      </c>
      <c r="G164" s="12" t="n">
        <v>3</v>
      </c>
      <c r="H164" s="14" t="n">
        <v>1208.69</v>
      </c>
      <c r="I164" s="15" t="n">
        <v>0</v>
      </c>
      <c r="J164" s="14" t="n">
        <v>300.81</v>
      </c>
    </row>
    <row r="165" customFormat="false" ht="15" hidden="false" customHeight="true" outlineLevel="0" collapsed="false">
      <c r="A165" s="12" t="s">
        <v>202</v>
      </c>
      <c r="B165" s="13" t="n">
        <v>45782</v>
      </c>
      <c r="C165" s="12" t="s">
        <v>26</v>
      </c>
      <c r="D165" s="12" t="s">
        <v>22</v>
      </c>
      <c r="E165" s="12" t="s">
        <v>45</v>
      </c>
      <c r="F165" s="12" t="s">
        <v>29</v>
      </c>
      <c r="G165" s="12" t="n">
        <v>3</v>
      </c>
      <c r="H165" s="14" t="n">
        <v>98.34</v>
      </c>
      <c r="I165" s="15" t="n">
        <v>0.4</v>
      </c>
      <c r="J165" s="14" t="n">
        <v>-33.16</v>
      </c>
    </row>
    <row r="166" customFormat="false" ht="15" hidden="false" customHeight="true" outlineLevel="0" collapsed="false">
      <c r="A166" s="12" t="s">
        <v>203</v>
      </c>
      <c r="B166" s="13" t="n">
        <v>45782</v>
      </c>
      <c r="C166" s="12" t="s">
        <v>21</v>
      </c>
      <c r="D166" s="12" t="s">
        <v>27</v>
      </c>
      <c r="E166" s="12" t="s">
        <v>43</v>
      </c>
      <c r="F166" s="12" t="s">
        <v>29</v>
      </c>
      <c r="G166" s="12" t="n">
        <v>1</v>
      </c>
      <c r="H166" s="14" t="n">
        <v>270.74</v>
      </c>
      <c r="I166" s="15" t="n">
        <v>0.1</v>
      </c>
      <c r="J166" s="14" t="n">
        <v>-30.01</v>
      </c>
    </row>
    <row r="167" customFormat="false" ht="15" hidden="false" customHeight="true" outlineLevel="0" collapsed="false">
      <c r="A167" s="12" t="s">
        <v>204</v>
      </c>
      <c r="B167" s="13" t="n">
        <v>45783</v>
      </c>
      <c r="C167" s="12" t="s">
        <v>21</v>
      </c>
      <c r="D167" s="12" t="s">
        <v>31</v>
      </c>
      <c r="E167" s="12" t="s">
        <v>41</v>
      </c>
      <c r="F167" s="12" t="s">
        <v>24</v>
      </c>
      <c r="G167" s="12" t="n">
        <v>7</v>
      </c>
      <c r="H167" s="14" t="n">
        <v>3675.32</v>
      </c>
      <c r="I167" s="15" t="n">
        <v>0.1</v>
      </c>
      <c r="J167" s="14" t="n">
        <v>440.34</v>
      </c>
    </row>
    <row r="168" customFormat="false" ht="15" hidden="false" customHeight="true" outlineLevel="0" collapsed="false">
      <c r="A168" s="12" t="s">
        <v>205</v>
      </c>
      <c r="B168" s="13" t="n">
        <v>45785</v>
      </c>
      <c r="C168" s="12" t="s">
        <v>26</v>
      </c>
      <c r="D168" s="12" t="s">
        <v>22</v>
      </c>
      <c r="E168" s="12" t="s">
        <v>45</v>
      </c>
      <c r="F168" s="12" t="s">
        <v>29</v>
      </c>
      <c r="G168" s="12" t="n">
        <v>6</v>
      </c>
      <c r="H168" s="14" t="n">
        <v>101.67</v>
      </c>
      <c r="I168" s="15" t="n">
        <v>0.4</v>
      </c>
      <c r="J168" s="14" t="n">
        <v>-22.1</v>
      </c>
    </row>
    <row r="169" customFormat="false" ht="15" hidden="false" customHeight="true" outlineLevel="0" collapsed="false">
      <c r="A169" s="12" t="s">
        <v>206</v>
      </c>
      <c r="B169" s="13" t="n">
        <v>45785</v>
      </c>
      <c r="C169" s="12" t="s">
        <v>34</v>
      </c>
      <c r="D169" s="12" t="s">
        <v>22</v>
      </c>
      <c r="E169" s="12" t="s">
        <v>45</v>
      </c>
      <c r="F169" s="12" t="s">
        <v>29</v>
      </c>
      <c r="G169" s="12" t="n">
        <v>6</v>
      </c>
      <c r="H169" s="14" t="n">
        <v>238.87</v>
      </c>
      <c r="I169" s="15" t="n">
        <v>0.3</v>
      </c>
      <c r="J169" s="14" t="n">
        <v>-1.52</v>
      </c>
    </row>
    <row r="170" customFormat="false" ht="15" hidden="false" customHeight="true" outlineLevel="0" collapsed="false">
      <c r="A170" s="12" t="s">
        <v>207</v>
      </c>
      <c r="B170" s="13" t="n">
        <v>45786</v>
      </c>
      <c r="C170" s="12" t="s">
        <v>34</v>
      </c>
      <c r="D170" s="12" t="s">
        <v>22</v>
      </c>
      <c r="E170" s="12" t="s">
        <v>45</v>
      </c>
      <c r="F170" s="12" t="s">
        <v>29</v>
      </c>
      <c r="G170" s="12" t="n">
        <v>5</v>
      </c>
      <c r="H170" s="14" t="n">
        <v>236.83</v>
      </c>
      <c r="I170" s="15" t="n">
        <v>0.1</v>
      </c>
      <c r="J170" s="14" t="n">
        <v>34.95</v>
      </c>
    </row>
    <row r="171" customFormat="false" ht="15" hidden="false" customHeight="true" outlineLevel="0" collapsed="false">
      <c r="A171" s="12" t="s">
        <v>208</v>
      </c>
      <c r="B171" s="13" t="n">
        <v>45787</v>
      </c>
      <c r="C171" s="12" t="s">
        <v>21</v>
      </c>
      <c r="D171" s="12" t="s">
        <v>31</v>
      </c>
      <c r="E171" s="12" t="s">
        <v>41</v>
      </c>
      <c r="F171" s="12" t="s">
        <v>29</v>
      </c>
      <c r="G171" s="12" t="n">
        <v>3</v>
      </c>
      <c r="H171" s="14" t="n">
        <v>1034.75</v>
      </c>
      <c r="I171" s="15" t="n">
        <v>0.2</v>
      </c>
      <c r="J171" s="14" t="n">
        <v>103.03</v>
      </c>
    </row>
    <row r="172" customFormat="false" ht="15" hidden="false" customHeight="true" outlineLevel="0" collapsed="false">
      <c r="A172" s="12" t="s">
        <v>209</v>
      </c>
      <c r="B172" s="13" t="n">
        <v>45787</v>
      </c>
      <c r="C172" s="12" t="s">
        <v>21</v>
      </c>
      <c r="D172" s="12" t="s">
        <v>27</v>
      </c>
      <c r="E172" s="12" t="s">
        <v>43</v>
      </c>
      <c r="F172" s="12" t="s">
        <v>29</v>
      </c>
      <c r="G172" s="12" t="n">
        <v>3</v>
      </c>
      <c r="H172" s="14" t="n">
        <v>816.82</v>
      </c>
      <c r="I172" s="15" t="n">
        <v>0.2</v>
      </c>
      <c r="J172" s="14" t="n">
        <v>-228.63</v>
      </c>
    </row>
    <row r="173" customFormat="false" ht="15" hidden="false" customHeight="true" outlineLevel="0" collapsed="false">
      <c r="A173" s="12" t="s">
        <v>210</v>
      </c>
      <c r="B173" s="13" t="n">
        <v>45788</v>
      </c>
      <c r="C173" s="12" t="s">
        <v>34</v>
      </c>
      <c r="D173" s="12" t="s">
        <v>31</v>
      </c>
      <c r="E173" s="12" t="s">
        <v>37</v>
      </c>
      <c r="F173" s="12" t="s">
        <v>24</v>
      </c>
      <c r="G173" s="12" t="n">
        <v>2</v>
      </c>
      <c r="H173" s="14" t="n">
        <v>962.41</v>
      </c>
      <c r="I173" s="15" t="n">
        <v>0</v>
      </c>
      <c r="J173" s="14" t="n">
        <v>258.14</v>
      </c>
    </row>
    <row r="174" customFormat="false" ht="15" hidden="false" customHeight="true" outlineLevel="0" collapsed="false">
      <c r="A174" s="12" t="s">
        <v>211</v>
      </c>
      <c r="B174" s="13" t="n">
        <v>45788</v>
      </c>
      <c r="C174" s="12" t="s">
        <v>39</v>
      </c>
      <c r="D174" s="12" t="s">
        <v>31</v>
      </c>
      <c r="E174" s="12" t="s">
        <v>41</v>
      </c>
      <c r="F174" s="12" t="s">
        <v>24</v>
      </c>
      <c r="G174" s="12" t="n">
        <v>1</v>
      </c>
      <c r="H174" s="14" t="n">
        <v>372.01</v>
      </c>
      <c r="I174" s="15" t="n">
        <v>0.2</v>
      </c>
      <c r="J174" s="14" t="n">
        <v>2.99</v>
      </c>
    </row>
    <row r="175" customFormat="false" ht="15" hidden="false" customHeight="true" outlineLevel="0" collapsed="false">
      <c r="A175" s="12" t="s">
        <v>212</v>
      </c>
      <c r="B175" s="13" t="n">
        <v>45789</v>
      </c>
      <c r="C175" s="12" t="s">
        <v>21</v>
      </c>
      <c r="D175" s="12" t="s">
        <v>22</v>
      </c>
      <c r="E175" s="12" t="s">
        <v>48</v>
      </c>
      <c r="F175" s="12" t="s">
        <v>29</v>
      </c>
      <c r="G175" s="12" t="n">
        <v>6</v>
      </c>
      <c r="H175" s="14" t="n">
        <v>348.15</v>
      </c>
      <c r="I175" s="15" t="n">
        <v>0</v>
      </c>
      <c r="J175" s="14" t="n">
        <v>49.88</v>
      </c>
    </row>
    <row r="176" customFormat="false" ht="15" hidden="false" customHeight="true" outlineLevel="0" collapsed="false">
      <c r="A176" s="12" t="s">
        <v>213</v>
      </c>
      <c r="B176" s="13" t="n">
        <v>45789</v>
      </c>
      <c r="C176" s="12" t="s">
        <v>21</v>
      </c>
      <c r="D176" s="12" t="s">
        <v>22</v>
      </c>
      <c r="E176" s="12" t="s">
        <v>48</v>
      </c>
      <c r="F176" s="12" t="s">
        <v>24</v>
      </c>
      <c r="G176" s="12" t="n">
        <v>2</v>
      </c>
      <c r="H176" s="14" t="n">
        <v>111.77</v>
      </c>
      <c r="I176" s="15" t="n">
        <v>0</v>
      </c>
      <c r="J176" s="14" t="n">
        <v>21.29</v>
      </c>
    </row>
    <row r="177" customFormat="false" ht="15" hidden="false" customHeight="true" outlineLevel="0" collapsed="false">
      <c r="A177" s="12" t="s">
        <v>214</v>
      </c>
      <c r="B177" s="13" t="n">
        <v>45789</v>
      </c>
      <c r="C177" s="12" t="s">
        <v>39</v>
      </c>
      <c r="D177" s="12" t="s">
        <v>31</v>
      </c>
      <c r="E177" s="12" t="s">
        <v>32</v>
      </c>
      <c r="F177" s="12" t="s">
        <v>29</v>
      </c>
      <c r="G177" s="12" t="n">
        <v>3</v>
      </c>
      <c r="H177" s="14" t="n">
        <v>1842.96</v>
      </c>
      <c r="I177" s="15" t="n">
        <v>0</v>
      </c>
      <c r="J177" s="14" t="n">
        <v>359.99</v>
      </c>
    </row>
    <row r="178" customFormat="false" ht="15" hidden="false" customHeight="true" outlineLevel="0" collapsed="false">
      <c r="A178" s="12" t="s">
        <v>215</v>
      </c>
      <c r="B178" s="13" t="n">
        <v>45791</v>
      </c>
      <c r="C178" s="12" t="s">
        <v>34</v>
      </c>
      <c r="D178" s="12" t="s">
        <v>22</v>
      </c>
      <c r="E178" s="12" t="s">
        <v>48</v>
      </c>
      <c r="F178" s="12" t="s">
        <v>29</v>
      </c>
      <c r="G178" s="12" t="n">
        <v>6</v>
      </c>
      <c r="H178" s="14" t="n">
        <v>241.1</v>
      </c>
      <c r="I178" s="15" t="n">
        <v>0</v>
      </c>
      <c r="J178" s="14" t="n">
        <v>60.58</v>
      </c>
    </row>
    <row r="179" customFormat="false" ht="15" hidden="false" customHeight="true" outlineLevel="0" collapsed="false">
      <c r="A179" s="12" t="s">
        <v>216</v>
      </c>
      <c r="B179" s="13" t="n">
        <v>45791</v>
      </c>
      <c r="C179" s="12" t="s">
        <v>26</v>
      </c>
      <c r="D179" s="12" t="s">
        <v>31</v>
      </c>
      <c r="E179" s="12" t="s">
        <v>37</v>
      </c>
      <c r="F179" s="12" t="s">
        <v>29</v>
      </c>
      <c r="G179" s="12" t="n">
        <v>7</v>
      </c>
      <c r="H179" s="14" t="n">
        <v>1709.73</v>
      </c>
      <c r="I179" s="15" t="n">
        <v>0.2</v>
      </c>
      <c r="J179" s="14" t="n">
        <v>-69.47</v>
      </c>
    </row>
    <row r="180" customFormat="false" ht="15" hidden="false" customHeight="true" outlineLevel="0" collapsed="false">
      <c r="A180" s="12" t="s">
        <v>217</v>
      </c>
      <c r="B180" s="13" t="n">
        <v>45792</v>
      </c>
      <c r="C180" s="12" t="s">
        <v>34</v>
      </c>
      <c r="D180" s="12" t="s">
        <v>31</v>
      </c>
      <c r="E180" s="12" t="s">
        <v>41</v>
      </c>
      <c r="F180" s="12" t="s">
        <v>29</v>
      </c>
      <c r="G180" s="12" t="n">
        <v>7</v>
      </c>
      <c r="H180" s="14" t="n">
        <v>2324.35</v>
      </c>
      <c r="I180" s="15" t="n">
        <v>0</v>
      </c>
      <c r="J180" s="14" t="n">
        <v>418.65</v>
      </c>
    </row>
    <row r="181" customFormat="false" ht="15" hidden="false" customHeight="true" outlineLevel="0" collapsed="false">
      <c r="A181" s="12" t="s">
        <v>218</v>
      </c>
      <c r="B181" s="13" t="n">
        <v>45792</v>
      </c>
      <c r="C181" s="12" t="s">
        <v>21</v>
      </c>
      <c r="D181" s="12" t="s">
        <v>27</v>
      </c>
      <c r="E181" s="12" t="s">
        <v>51</v>
      </c>
      <c r="F181" s="12" t="s">
        <v>29</v>
      </c>
      <c r="G181" s="12" t="n">
        <v>1</v>
      </c>
      <c r="H181" s="14" t="n">
        <v>349.58</v>
      </c>
      <c r="I181" s="15" t="n">
        <v>0</v>
      </c>
      <c r="J181" s="14" t="n">
        <v>-16.24</v>
      </c>
    </row>
    <row r="182" customFormat="false" ht="15" hidden="false" customHeight="true" outlineLevel="0" collapsed="false">
      <c r="A182" s="12" t="s">
        <v>219</v>
      </c>
      <c r="B182" s="13" t="n">
        <v>45793</v>
      </c>
      <c r="C182" s="12" t="s">
        <v>21</v>
      </c>
      <c r="D182" s="12" t="s">
        <v>31</v>
      </c>
      <c r="E182" s="12" t="s">
        <v>32</v>
      </c>
      <c r="F182" s="12" t="s">
        <v>24</v>
      </c>
      <c r="G182" s="12" t="n">
        <v>5</v>
      </c>
      <c r="H182" s="14" t="n">
        <v>1348.09</v>
      </c>
      <c r="I182" s="15" t="n">
        <v>0.4</v>
      </c>
      <c r="J182" s="14" t="n">
        <v>-223.55</v>
      </c>
    </row>
    <row r="183" customFormat="false" ht="15" hidden="false" customHeight="true" outlineLevel="0" collapsed="false">
      <c r="A183" s="12" t="s">
        <v>220</v>
      </c>
      <c r="B183" s="13" t="n">
        <v>45795</v>
      </c>
      <c r="C183" s="12" t="s">
        <v>34</v>
      </c>
      <c r="D183" s="12" t="s">
        <v>22</v>
      </c>
      <c r="E183" s="12" t="s">
        <v>23</v>
      </c>
      <c r="F183" s="12" t="s">
        <v>29</v>
      </c>
      <c r="G183" s="12" t="n">
        <v>3</v>
      </c>
      <c r="H183" s="14" t="n">
        <v>70.11</v>
      </c>
      <c r="I183" s="15" t="n">
        <v>0.3</v>
      </c>
      <c r="J183" s="14" t="n">
        <v>-6.27</v>
      </c>
    </row>
    <row r="184" customFormat="false" ht="15" hidden="false" customHeight="true" outlineLevel="0" collapsed="false">
      <c r="A184" s="12" t="s">
        <v>221</v>
      </c>
      <c r="B184" s="13" t="n">
        <v>45795</v>
      </c>
      <c r="C184" s="12" t="s">
        <v>34</v>
      </c>
      <c r="D184" s="12" t="s">
        <v>27</v>
      </c>
      <c r="E184" s="12" t="s">
        <v>28</v>
      </c>
      <c r="F184" s="12" t="s">
        <v>24</v>
      </c>
      <c r="G184" s="12" t="n">
        <v>6</v>
      </c>
      <c r="H184" s="14" t="n">
        <v>1283.04</v>
      </c>
      <c r="I184" s="15" t="n">
        <v>0.4</v>
      </c>
      <c r="J184" s="14" t="n">
        <v>-428.93</v>
      </c>
    </row>
    <row r="185" customFormat="false" ht="15" hidden="false" customHeight="true" outlineLevel="0" collapsed="false">
      <c r="A185" s="12" t="s">
        <v>222</v>
      </c>
      <c r="B185" s="13" t="n">
        <v>45795</v>
      </c>
      <c r="C185" s="12" t="s">
        <v>39</v>
      </c>
      <c r="D185" s="12" t="s">
        <v>22</v>
      </c>
      <c r="E185" s="12" t="s">
        <v>45</v>
      </c>
      <c r="F185" s="12" t="s">
        <v>24</v>
      </c>
      <c r="G185" s="12" t="n">
        <v>5</v>
      </c>
      <c r="H185" s="14" t="n">
        <v>103.86</v>
      </c>
      <c r="I185" s="15" t="n">
        <v>0.4</v>
      </c>
      <c r="J185" s="14" t="n">
        <v>-22.67</v>
      </c>
    </row>
    <row r="186" customFormat="false" ht="15" hidden="false" customHeight="true" outlineLevel="0" collapsed="false">
      <c r="A186" s="12" t="s">
        <v>223</v>
      </c>
      <c r="B186" s="13" t="n">
        <v>45795</v>
      </c>
      <c r="C186" s="12" t="s">
        <v>26</v>
      </c>
      <c r="D186" s="12" t="s">
        <v>22</v>
      </c>
      <c r="E186" s="12" t="s">
        <v>48</v>
      </c>
      <c r="F186" s="12" t="s">
        <v>24</v>
      </c>
      <c r="G186" s="12" t="n">
        <v>4</v>
      </c>
      <c r="H186" s="14" t="n">
        <v>111.47</v>
      </c>
      <c r="I186" s="15" t="n">
        <v>0.4</v>
      </c>
      <c r="J186" s="14" t="n">
        <v>-31.08</v>
      </c>
    </row>
    <row r="187" customFormat="false" ht="15" hidden="false" customHeight="true" outlineLevel="0" collapsed="false">
      <c r="A187" s="12" t="s">
        <v>224</v>
      </c>
      <c r="B187" s="13" t="n">
        <v>45796</v>
      </c>
      <c r="C187" s="12" t="s">
        <v>26</v>
      </c>
      <c r="D187" s="12" t="s">
        <v>22</v>
      </c>
      <c r="E187" s="12" t="s">
        <v>45</v>
      </c>
      <c r="F187" s="12" t="s">
        <v>29</v>
      </c>
      <c r="G187" s="12" t="n">
        <v>6</v>
      </c>
      <c r="H187" s="14" t="n">
        <v>209.12</v>
      </c>
      <c r="I187" s="15" t="n">
        <v>0.1</v>
      </c>
      <c r="J187" s="14" t="n">
        <v>-2.27</v>
      </c>
    </row>
    <row r="188" customFormat="false" ht="15" hidden="false" customHeight="true" outlineLevel="0" collapsed="false">
      <c r="A188" s="12" t="s">
        <v>225</v>
      </c>
      <c r="B188" s="13" t="n">
        <v>45796</v>
      </c>
      <c r="C188" s="12" t="s">
        <v>26</v>
      </c>
      <c r="D188" s="12" t="s">
        <v>27</v>
      </c>
      <c r="E188" s="12" t="s">
        <v>51</v>
      </c>
      <c r="F188" s="12" t="s">
        <v>29</v>
      </c>
      <c r="G188" s="12" t="n">
        <v>4</v>
      </c>
      <c r="H188" s="14" t="n">
        <v>1260.58</v>
      </c>
      <c r="I188" s="15" t="n">
        <v>0.1</v>
      </c>
      <c r="J188" s="14" t="n">
        <v>-171.94</v>
      </c>
    </row>
    <row r="189" customFormat="false" ht="15" hidden="false" customHeight="true" outlineLevel="0" collapsed="false">
      <c r="A189" s="12" t="s">
        <v>226</v>
      </c>
      <c r="B189" s="13" t="n">
        <v>45797</v>
      </c>
      <c r="C189" s="12" t="s">
        <v>34</v>
      </c>
      <c r="D189" s="12" t="s">
        <v>22</v>
      </c>
      <c r="E189" s="12" t="s">
        <v>48</v>
      </c>
      <c r="F189" s="12" t="s">
        <v>24</v>
      </c>
      <c r="G189" s="12" t="n">
        <v>6</v>
      </c>
      <c r="H189" s="14" t="n">
        <v>150.14</v>
      </c>
      <c r="I189" s="15" t="n">
        <v>0.4</v>
      </c>
      <c r="J189" s="14" t="n">
        <v>-22.44</v>
      </c>
    </row>
    <row r="190" customFormat="false" ht="15" hidden="false" customHeight="true" outlineLevel="0" collapsed="false">
      <c r="A190" s="12" t="s">
        <v>227</v>
      </c>
      <c r="B190" s="13" t="n">
        <v>45797</v>
      </c>
      <c r="C190" s="12" t="s">
        <v>39</v>
      </c>
      <c r="D190" s="12" t="s">
        <v>22</v>
      </c>
      <c r="E190" s="12" t="s">
        <v>23</v>
      </c>
      <c r="F190" s="12" t="s">
        <v>24</v>
      </c>
      <c r="G190" s="12" t="n">
        <v>6</v>
      </c>
      <c r="H190" s="14" t="n">
        <v>223.22</v>
      </c>
      <c r="I190" s="15" t="n">
        <v>0.1</v>
      </c>
      <c r="J190" s="14" t="n">
        <v>25.53</v>
      </c>
    </row>
    <row r="191" customFormat="false" ht="15" hidden="false" customHeight="true" outlineLevel="0" collapsed="false">
      <c r="A191" s="12" t="s">
        <v>228</v>
      </c>
      <c r="B191" s="13" t="n">
        <v>45798</v>
      </c>
      <c r="C191" s="12" t="s">
        <v>21</v>
      </c>
      <c r="D191" s="12" t="s">
        <v>22</v>
      </c>
      <c r="E191" s="12" t="s">
        <v>23</v>
      </c>
      <c r="F191" s="12" t="s">
        <v>29</v>
      </c>
      <c r="G191" s="12" t="n">
        <v>5</v>
      </c>
      <c r="H191" s="14" t="n">
        <v>159.04</v>
      </c>
      <c r="I191" s="15" t="n">
        <v>0</v>
      </c>
      <c r="J191" s="14" t="n">
        <v>13.85</v>
      </c>
    </row>
    <row r="192" customFormat="false" ht="15" hidden="false" customHeight="true" outlineLevel="0" collapsed="false">
      <c r="A192" s="12" t="s">
        <v>229</v>
      </c>
      <c r="B192" s="13" t="n">
        <v>45798</v>
      </c>
      <c r="C192" s="12" t="s">
        <v>26</v>
      </c>
      <c r="D192" s="12" t="s">
        <v>27</v>
      </c>
      <c r="E192" s="12" t="s">
        <v>43</v>
      </c>
      <c r="F192" s="12" t="s">
        <v>24</v>
      </c>
      <c r="G192" s="12" t="n">
        <v>4</v>
      </c>
      <c r="H192" s="14" t="n">
        <v>654.09</v>
      </c>
      <c r="I192" s="15" t="n">
        <v>0</v>
      </c>
      <c r="J192" s="14" t="n">
        <v>-37.55</v>
      </c>
    </row>
    <row r="193" customFormat="false" ht="15" hidden="false" customHeight="true" outlineLevel="0" collapsed="false">
      <c r="A193" s="12" t="s">
        <v>230</v>
      </c>
      <c r="B193" s="13" t="n">
        <v>45799</v>
      </c>
      <c r="C193" s="12" t="s">
        <v>39</v>
      </c>
      <c r="D193" s="12" t="s">
        <v>31</v>
      </c>
      <c r="E193" s="12" t="s">
        <v>37</v>
      </c>
      <c r="F193" s="12" t="s">
        <v>24</v>
      </c>
      <c r="G193" s="12" t="n">
        <v>2</v>
      </c>
      <c r="H193" s="14" t="n">
        <v>989.02</v>
      </c>
      <c r="I193" s="15" t="n">
        <v>0</v>
      </c>
      <c r="J193" s="14" t="n">
        <v>197.33</v>
      </c>
    </row>
    <row r="194" customFormat="false" ht="15" hidden="false" customHeight="true" outlineLevel="0" collapsed="false">
      <c r="A194" s="12" t="s">
        <v>231</v>
      </c>
      <c r="B194" s="13" t="n">
        <v>45799</v>
      </c>
      <c r="C194" s="12" t="s">
        <v>21</v>
      </c>
      <c r="D194" s="12" t="s">
        <v>31</v>
      </c>
      <c r="E194" s="12" t="s">
        <v>32</v>
      </c>
      <c r="F194" s="12" t="s">
        <v>24</v>
      </c>
      <c r="G194" s="12" t="n">
        <v>2</v>
      </c>
      <c r="H194" s="14" t="n">
        <v>968.05</v>
      </c>
      <c r="I194" s="15" t="n">
        <v>0.1</v>
      </c>
      <c r="J194" s="14" t="n">
        <v>31.33</v>
      </c>
    </row>
    <row r="195" customFormat="false" ht="15" hidden="false" customHeight="true" outlineLevel="0" collapsed="false">
      <c r="A195" s="12" t="s">
        <v>232</v>
      </c>
      <c r="B195" s="13" t="n">
        <v>45800</v>
      </c>
      <c r="C195" s="12" t="s">
        <v>39</v>
      </c>
      <c r="D195" s="12" t="s">
        <v>27</v>
      </c>
      <c r="E195" s="12" t="s">
        <v>28</v>
      </c>
      <c r="F195" s="12" t="s">
        <v>29</v>
      </c>
      <c r="G195" s="12" t="n">
        <v>5</v>
      </c>
      <c r="H195" s="14" t="n">
        <v>1461.46</v>
      </c>
      <c r="I195" s="15" t="n">
        <v>0</v>
      </c>
      <c r="J195" s="14" t="n">
        <v>19.32</v>
      </c>
    </row>
    <row r="196" customFormat="false" ht="15" hidden="false" customHeight="true" outlineLevel="0" collapsed="false">
      <c r="A196" s="12" t="s">
        <v>233</v>
      </c>
      <c r="B196" s="13" t="n">
        <v>45800</v>
      </c>
      <c r="C196" s="12" t="s">
        <v>26</v>
      </c>
      <c r="D196" s="12" t="s">
        <v>31</v>
      </c>
      <c r="E196" s="12" t="s">
        <v>32</v>
      </c>
      <c r="F196" s="12" t="s">
        <v>35</v>
      </c>
      <c r="G196" s="12" t="n">
        <v>4</v>
      </c>
      <c r="H196" s="14" t="n">
        <v>2418.6</v>
      </c>
      <c r="I196" s="15" t="n">
        <v>0</v>
      </c>
      <c r="J196" s="14" t="n">
        <v>537.48</v>
      </c>
    </row>
    <row r="197" customFormat="false" ht="15" hidden="false" customHeight="true" outlineLevel="0" collapsed="false">
      <c r="A197" s="12" t="s">
        <v>234</v>
      </c>
      <c r="B197" s="13" t="n">
        <v>45800</v>
      </c>
      <c r="C197" s="12" t="s">
        <v>34</v>
      </c>
      <c r="D197" s="12" t="s">
        <v>31</v>
      </c>
      <c r="E197" s="12" t="s">
        <v>32</v>
      </c>
      <c r="F197" s="12" t="s">
        <v>29</v>
      </c>
      <c r="G197" s="12" t="n">
        <v>2</v>
      </c>
      <c r="H197" s="14" t="n">
        <v>749.22</v>
      </c>
      <c r="I197" s="15" t="n">
        <v>0.4</v>
      </c>
      <c r="J197" s="14" t="n">
        <v>-90.9</v>
      </c>
    </row>
    <row r="198" customFormat="false" ht="15" hidden="false" customHeight="true" outlineLevel="0" collapsed="false">
      <c r="A198" s="12" t="s">
        <v>235</v>
      </c>
      <c r="B198" s="13" t="n">
        <v>45801</v>
      </c>
      <c r="C198" s="12" t="s">
        <v>34</v>
      </c>
      <c r="D198" s="12" t="s">
        <v>31</v>
      </c>
      <c r="E198" s="12" t="s">
        <v>41</v>
      </c>
      <c r="F198" s="12" t="s">
        <v>24</v>
      </c>
      <c r="G198" s="12" t="n">
        <v>2</v>
      </c>
      <c r="H198" s="14" t="n">
        <v>927.95</v>
      </c>
      <c r="I198" s="15" t="n">
        <v>0</v>
      </c>
      <c r="J198" s="14" t="n">
        <v>242.18</v>
      </c>
    </row>
    <row r="199" customFormat="false" ht="15" hidden="false" customHeight="true" outlineLevel="0" collapsed="false">
      <c r="A199" s="12" t="s">
        <v>236</v>
      </c>
      <c r="B199" s="13" t="n">
        <v>45801</v>
      </c>
      <c r="C199" s="12" t="s">
        <v>26</v>
      </c>
      <c r="D199" s="12" t="s">
        <v>22</v>
      </c>
      <c r="E199" s="12" t="s">
        <v>48</v>
      </c>
      <c r="F199" s="12" t="s">
        <v>29</v>
      </c>
      <c r="G199" s="12" t="n">
        <v>3</v>
      </c>
      <c r="H199" s="14" t="n">
        <v>85.74</v>
      </c>
      <c r="I199" s="15" t="n">
        <v>0</v>
      </c>
      <c r="J199" s="14" t="n">
        <v>15.77</v>
      </c>
    </row>
    <row r="200" customFormat="false" ht="15" hidden="false" customHeight="true" outlineLevel="0" collapsed="false">
      <c r="A200" s="12" t="s">
        <v>237</v>
      </c>
      <c r="B200" s="13" t="n">
        <v>45801</v>
      </c>
      <c r="C200" s="12" t="s">
        <v>39</v>
      </c>
      <c r="D200" s="12" t="s">
        <v>31</v>
      </c>
      <c r="E200" s="12" t="s">
        <v>41</v>
      </c>
      <c r="F200" s="12" t="s">
        <v>24</v>
      </c>
      <c r="G200" s="12" t="n">
        <v>4</v>
      </c>
      <c r="H200" s="14" t="n">
        <v>1845.62</v>
      </c>
      <c r="I200" s="15" t="n">
        <v>0</v>
      </c>
      <c r="J200" s="14" t="n">
        <v>467.07</v>
      </c>
    </row>
    <row r="201" customFormat="false" ht="15" hidden="false" customHeight="true" outlineLevel="0" collapsed="false">
      <c r="A201" s="12" t="s">
        <v>238</v>
      </c>
      <c r="B201" s="13" t="n">
        <v>45801</v>
      </c>
      <c r="C201" s="12" t="s">
        <v>26</v>
      </c>
      <c r="D201" s="12" t="s">
        <v>27</v>
      </c>
      <c r="E201" s="12" t="s">
        <v>51</v>
      </c>
      <c r="F201" s="12" t="s">
        <v>29</v>
      </c>
      <c r="G201" s="12" t="n">
        <v>5</v>
      </c>
      <c r="H201" s="14" t="n">
        <v>844.27</v>
      </c>
      <c r="I201" s="15" t="n">
        <v>0</v>
      </c>
      <c r="J201" s="14" t="n">
        <v>-71.42</v>
      </c>
    </row>
    <row r="202" customFormat="false" ht="15" hidden="false" customHeight="true" outlineLevel="0" collapsed="false">
      <c r="A202" s="12" t="s">
        <v>239</v>
      </c>
      <c r="B202" s="13" t="n">
        <v>45802</v>
      </c>
      <c r="C202" s="12" t="s">
        <v>39</v>
      </c>
      <c r="D202" s="12" t="s">
        <v>27</v>
      </c>
      <c r="E202" s="12" t="s">
        <v>51</v>
      </c>
      <c r="F202" s="12" t="s">
        <v>24</v>
      </c>
      <c r="G202" s="12" t="n">
        <v>6</v>
      </c>
      <c r="H202" s="14" t="n">
        <v>1248.27</v>
      </c>
      <c r="I202" s="15" t="n">
        <v>0.2</v>
      </c>
      <c r="J202" s="14" t="n">
        <v>-161.49</v>
      </c>
    </row>
    <row r="203" customFormat="false" ht="15" hidden="false" customHeight="true" outlineLevel="0" collapsed="false">
      <c r="A203" s="12" t="s">
        <v>240</v>
      </c>
      <c r="B203" s="13" t="n">
        <v>45805</v>
      </c>
      <c r="C203" s="12" t="s">
        <v>21</v>
      </c>
      <c r="D203" s="12" t="s">
        <v>31</v>
      </c>
      <c r="E203" s="12" t="s">
        <v>37</v>
      </c>
      <c r="F203" s="12" t="s">
        <v>29</v>
      </c>
      <c r="G203" s="12" t="n">
        <v>4</v>
      </c>
      <c r="H203" s="14" t="n">
        <v>2374.7</v>
      </c>
      <c r="I203" s="15" t="n">
        <v>0</v>
      </c>
      <c r="J203" s="14" t="n">
        <v>478.41</v>
      </c>
    </row>
    <row r="204" customFormat="false" ht="15" hidden="false" customHeight="true" outlineLevel="0" collapsed="false">
      <c r="A204" s="12" t="s">
        <v>241</v>
      </c>
      <c r="B204" s="13" t="n">
        <v>45805</v>
      </c>
      <c r="C204" s="12" t="s">
        <v>26</v>
      </c>
      <c r="D204" s="12" t="s">
        <v>27</v>
      </c>
      <c r="E204" s="12" t="s">
        <v>28</v>
      </c>
      <c r="F204" s="12" t="s">
        <v>24</v>
      </c>
      <c r="G204" s="12" t="n">
        <v>2</v>
      </c>
      <c r="H204" s="14" t="n">
        <v>355.52</v>
      </c>
      <c r="I204" s="15" t="n">
        <v>0.4</v>
      </c>
      <c r="J204" s="14" t="n">
        <v>-178.26</v>
      </c>
    </row>
    <row r="205" customFormat="false" ht="15" hidden="false" customHeight="true" outlineLevel="0" collapsed="false">
      <c r="A205" s="12" t="s">
        <v>242</v>
      </c>
      <c r="B205" s="13" t="n">
        <v>45806</v>
      </c>
      <c r="C205" s="12" t="s">
        <v>34</v>
      </c>
      <c r="D205" s="12" t="s">
        <v>22</v>
      </c>
      <c r="E205" s="12" t="s">
        <v>23</v>
      </c>
      <c r="F205" s="12" t="s">
        <v>29</v>
      </c>
      <c r="G205" s="12" t="n">
        <v>6</v>
      </c>
      <c r="H205" s="14" t="n">
        <v>153.93</v>
      </c>
      <c r="I205" s="15" t="n">
        <v>0</v>
      </c>
      <c r="J205" s="14" t="n">
        <v>41.73</v>
      </c>
    </row>
    <row r="206" customFormat="false" ht="15" hidden="false" customHeight="true" outlineLevel="0" collapsed="false">
      <c r="A206" s="12" t="s">
        <v>243</v>
      </c>
      <c r="B206" s="13" t="n">
        <v>45806</v>
      </c>
      <c r="C206" s="12" t="s">
        <v>34</v>
      </c>
      <c r="D206" s="12" t="s">
        <v>22</v>
      </c>
      <c r="E206" s="12" t="s">
        <v>48</v>
      </c>
      <c r="F206" s="12" t="s">
        <v>24</v>
      </c>
      <c r="G206" s="12" t="n">
        <v>1</v>
      </c>
      <c r="H206" s="14" t="n">
        <v>36.78</v>
      </c>
      <c r="I206" s="15" t="n">
        <v>0.2</v>
      </c>
      <c r="J206" s="14" t="n">
        <v>-2.14</v>
      </c>
    </row>
    <row r="207" customFormat="false" ht="15" hidden="false" customHeight="true" outlineLevel="0" collapsed="false">
      <c r="A207" s="12" t="s">
        <v>244</v>
      </c>
      <c r="B207" s="13" t="n">
        <v>45807</v>
      </c>
      <c r="C207" s="12" t="s">
        <v>39</v>
      </c>
      <c r="D207" s="12" t="s">
        <v>22</v>
      </c>
      <c r="E207" s="12" t="s">
        <v>23</v>
      </c>
      <c r="F207" s="12" t="s">
        <v>29</v>
      </c>
      <c r="G207" s="12" t="n">
        <v>5</v>
      </c>
      <c r="H207" s="14" t="n">
        <v>131.36</v>
      </c>
      <c r="I207" s="15" t="n">
        <v>0.2</v>
      </c>
      <c r="J207" s="14" t="n">
        <v>-3.06</v>
      </c>
    </row>
    <row r="208" customFormat="false" ht="15" hidden="false" customHeight="true" outlineLevel="0" collapsed="false">
      <c r="A208" s="12" t="s">
        <v>245</v>
      </c>
      <c r="B208" s="13" t="n">
        <v>45808</v>
      </c>
      <c r="C208" s="12" t="s">
        <v>34</v>
      </c>
      <c r="D208" s="12" t="s">
        <v>27</v>
      </c>
      <c r="E208" s="12" t="s">
        <v>43</v>
      </c>
      <c r="F208" s="12" t="s">
        <v>29</v>
      </c>
      <c r="G208" s="12" t="n">
        <v>4</v>
      </c>
      <c r="H208" s="14" t="n">
        <v>1256.09</v>
      </c>
      <c r="I208" s="15" t="n">
        <v>0.1</v>
      </c>
      <c r="J208" s="14" t="n">
        <v>-33.2</v>
      </c>
    </row>
    <row r="209" customFormat="false" ht="15" hidden="false" customHeight="true" outlineLevel="0" collapsed="false">
      <c r="A209" s="12" t="s">
        <v>246</v>
      </c>
      <c r="B209" s="13" t="n">
        <v>45808</v>
      </c>
      <c r="C209" s="12" t="s">
        <v>39</v>
      </c>
      <c r="D209" s="12" t="s">
        <v>31</v>
      </c>
      <c r="E209" s="12" t="s">
        <v>41</v>
      </c>
      <c r="F209" s="12" t="s">
        <v>35</v>
      </c>
      <c r="G209" s="12" t="n">
        <v>4</v>
      </c>
      <c r="H209" s="14" t="n">
        <v>615.73</v>
      </c>
      <c r="I209" s="15" t="n">
        <v>0.4</v>
      </c>
      <c r="J209" s="14" t="n">
        <v>-81.67</v>
      </c>
    </row>
    <row r="210" customFormat="false" ht="15" hidden="false" customHeight="true" outlineLevel="0" collapsed="false">
      <c r="A210" s="12" t="s">
        <v>247</v>
      </c>
      <c r="B210" s="13" t="n">
        <v>45810</v>
      </c>
      <c r="C210" s="12" t="s">
        <v>21</v>
      </c>
      <c r="D210" s="12" t="s">
        <v>31</v>
      </c>
      <c r="E210" s="12" t="s">
        <v>32</v>
      </c>
      <c r="F210" s="12" t="s">
        <v>24</v>
      </c>
      <c r="G210" s="12" t="n">
        <v>7</v>
      </c>
      <c r="H210" s="14" t="n">
        <v>1970.8</v>
      </c>
      <c r="I210" s="15" t="n">
        <v>0</v>
      </c>
      <c r="J210" s="14" t="n">
        <v>550.87</v>
      </c>
    </row>
    <row r="211" customFormat="false" ht="15" hidden="false" customHeight="true" outlineLevel="0" collapsed="false">
      <c r="A211" s="12" t="s">
        <v>248</v>
      </c>
      <c r="B211" s="13" t="n">
        <v>45810</v>
      </c>
      <c r="C211" s="12" t="s">
        <v>34</v>
      </c>
      <c r="D211" s="12" t="s">
        <v>22</v>
      </c>
      <c r="E211" s="12" t="s">
        <v>23</v>
      </c>
      <c r="F211" s="12" t="s">
        <v>24</v>
      </c>
      <c r="G211" s="12" t="n">
        <v>4</v>
      </c>
      <c r="H211" s="14" t="n">
        <v>202.53</v>
      </c>
      <c r="I211" s="15" t="n">
        <v>0</v>
      </c>
      <c r="J211" s="14" t="n">
        <v>29.43</v>
      </c>
    </row>
    <row r="212" customFormat="false" ht="15" hidden="false" customHeight="true" outlineLevel="0" collapsed="false">
      <c r="A212" s="12" t="s">
        <v>249</v>
      </c>
      <c r="B212" s="13" t="n">
        <v>45811</v>
      </c>
      <c r="C212" s="12" t="s">
        <v>34</v>
      </c>
      <c r="D212" s="12" t="s">
        <v>22</v>
      </c>
      <c r="E212" s="12" t="s">
        <v>45</v>
      </c>
      <c r="F212" s="12" t="s">
        <v>24</v>
      </c>
      <c r="G212" s="12" t="n">
        <v>6</v>
      </c>
      <c r="H212" s="14" t="n">
        <v>126.86</v>
      </c>
      <c r="I212" s="15" t="n">
        <v>0.4</v>
      </c>
      <c r="J212" s="14" t="n">
        <v>-26.75</v>
      </c>
    </row>
    <row r="213" customFormat="false" ht="15" hidden="false" customHeight="true" outlineLevel="0" collapsed="false">
      <c r="A213" s="12" t="s">
        <v>250</v>
      </c>
      <c r="B213" s="13" t="n">
        <v>45813</v>
      </c>
      <c r="C213" s="12" t="s">
        <v>39</v>
      </c>
      <c r="D213" s="12" t="s">
        <v>22</v>
      </c>
      <c r="E213" s="12" t="s">
        <v>23</v>
      </c>
      <c r="F213" s="12" t="s">
        <v>29</v>
      </c>
      <c r="G213" s="12" t="n">
        <v>6</v>
      </c>
      <c r="H213" s="14" t="n">
        <v>312.84</v>
      </c>
      <c r="I213" s="15" t="n">
        <v>0.1</v>
      </c>
      <c r="J213" s="14" t="n">
        <v>45.26</v>
      </c>
    </row>
    <row r="214" customFormat="false" ht="15" hidden="false" customHeight="true" outlineLevel="0" collapsed="false">
      <c r="A214" s="12" t="s">
        <v>251</v>
      </c>
      <c r="B214" s="13" t="n">
        <v>45816</v>
      </c>
      <c r="C214" s="12" t="s">
        <v>34</v>
      </c>
      <c r="D214" s="12" t="s">
        <v>27</v>
      </c>
      <c r="E214" s="12" t="s">
        <v>28</v>
      </c>
      <c r="F214" s="12" t="s">
        <v>35</v>
      </c>
      <c r="G214" s="12" t="n">
        <v>7</v>
      </c>
      <c r="H214" s="14" t="n">
        <v>1190.32</v>
      </c>
      <c r="I214" s="15" t="n">
        <v>0.2</v>
      </c>
      <c r="J214" s="14" t="n">
        <v>-278.21</v>
      </c>
    </row>
    <row r="215" customFormat="false" ht="15" hidden="false" customHeight="true" outlineLevel="0" collapsed="false">
      <c r="A215" s="12" t="s">
        <v>252</v>
      </c>
      <c r="B215" s="13" t="n">
        <v>45819</v>
      </c>
      <c r="C215" s="12" t="s">
        <v>26</v>
      </c>
      <c r="D215" s="12" t="s">
        <v>22</v>
      </c>
      <c r="E215" s="12" t="s">
        <v>48</v>
      </c>
      <c r="F215" s="12" t="s">
        <v>35</v>
      </c>
      <c r="G215" s="12" t="n">
        <v>4</v>
      </c>
      <c r="H215" s="14" t="n">
        <v>108.73</v>
      </c>
      <c r="I215" s="15" t="n">
        <v>0</v>
      </c>
      <c r="J215" s="14" t="n">
        <v>11.13</v>
      </c>
    </row>
    <row r="216" customFormat="false" ht="15" hidden="false" customHeight="true" outlineLevel="0" collapsed="false">
      <c r="A216" s="12" t="s">
        <v>253</v>
      </c>
      <c r="B216" s="13" t="n">
        <v>45819</v>
      </c>
      <c r="C216" s="12" t="s">
        <v>34</v>
      </c>
      <c r="D216" s="12" t="s">
        <v>22</v>
      </c>
      <c r="E216" s="12" t="s">
        <v>45</v>
      </c>
      <c r="F216" s="12" t="s">
        <v>24</v>
      </c>
      <c r="G216" s="12" t="n">
        <v>1</v>
      </c>
      <c r="H216" s="14" t="n">
        <v>30.84</v>
      </c>
      <c r="I216" s="15" t="n">
        <v>0.1</v>
      </c>
      <c r="J216" s="14" t="n">
        <v>2.38</v>
      </c>
    </row>
    <row r="217" customFormat="false" ht="15" hidden="false" customHeight="true" outlineLevel="0" collapsed="false">
      <c r="A217" s="12" t="s">
        <v>254</v>
      </c>
      <c r="B217" s="13" t="n">
        <v>45820</v>
      </c>
      <c r="C217" s="12" t="s">
        <v>21</v>
      </c>
      <c r="D217" s="12" t="s">
        <v>22</v>
      </c>
      <c r="E217" s="12" t="s">
        <v>48</v>
      </c>
      <c r="F217" s="12" t="s">
        <v>29</v>
      </c>
      <c r="G217" s="12" t="n">
        <v>6</v>
      </c>
      <c r="H217" s="14" t="n">
        <v>170.74</v>
      </c>
      <c r="I217" s="15" t="n">
        <v>0.4</v>
      </c>
      <c r="J217" s="14" t="n">
        <v>-37.44</v>
      </c>
    </row>
    <row r="218" customFormat="false" ht="15" hidden="false" customHeight="true" outlineLevel="0" collapsed="false">
      <c r="A218" s="12" t="s">
        <v>255</v>
      </c>
      <c r="B218" s="13" t="n">
        <v>45821</v>
      </c>
      <c r="C218" s="12" t="s">
        <v>39</v>
      </c>
      <c r="D218" s="12" t="s">
        <v>31</v>
      </c>
      <c r="E218" s="12" t="s">
        <v>41</v>
      </c>
      <c r="F218" s="12" t="s">
        <v>29</v>
      </c>
      <c r="G218" s="12" t="n">
        <v>4</v>
      </c>
      <c r="H218" s="14" t="n">
        <v>2047.55</v>
      </c>
      <c r="I218" s="15" t="n">
        <v>0</v>
      </c>
      <c r="J218" s="14" t="n">
        <v>474.87</v>
      </c>
    </row>
    <row r="219" customFormat="false" ht="15" hidden="false" customHeight="true" outlineLevel="0" collapsed="false">
      <c r="A219" s="12" t="s">
        <v>256</v>
      </c>
      <c r="B219" s="13" t="n">
        <v>45821</v>
      </c>
      <c r="C219" s="12" t="s">
        <v>34</v>
      </c>
      <c r="D219" s="12" t="s">
        <v>27</v>
      </c>
      <c r="E219" s="12" t="s">
        <v>51</v>
      </c>
      <c r="F219" s="12" t="s">
        <v>29</v>
      </c>
      <c r="G219" s="12" t="n">
        <v>4</v>
      </c>
      <c r="H219" s="14" t="n">
        <v>797.17</v>
      </c>
      <c r="I219" s="15" t="n">
        <v>0.1</v>
      </c>
      <c r="J219" s="14" t="n">
        <v>-59.6</v>
      </c>
    </row>
    <row r="220" customFormat="false" ht="15" hidden="false" customHeight="true" outlineLevel="0" collapsed="false">
      <c r="A220" s="12" t="s">
        <v>257</v>
      </c>
      <c r="B220" s="13" t="n">
        <v>45821</v>
      </c>
      <c r="C220" s="12" t="s">
        <v>26</v>
      </c>
      <c r="D220" s="12" t="s">
        <v>22</v>
      </c>
      <c r="E220" s="12" t="s">
        <v>45</v>
      </c>
      <c r="F220" s="12" t="s">
        <v>29</v>
      </c>
      <c r="G220" s="12" t="n">
        <v>3</v>
      </c>
      <c r="H220" s="14" t="n">
        <v>66.14</v>
      </c>
      <c r="I220" s="15" t="n">
        <v>0.1</v>
      </c>
      <c r="J220" s="14" t="n">
        <v>4.92</v>
      </c>
    </row>
    <row r="221" customFormat="false" ht="15" hidden="false" customHeight="true" outlineLevel="0" collapsed="false">
      <c r="A221" s="12" t="s">
        <v>258</v>
      </c>
      <c r="B221" s="13" t="n">
        <v>45822</v>
      </c>
      <c r="C221" s="12" t="s">
        <v>26</v>
      </c>
      <c r="D221" s="12" t="s">
        <v>22</v>
      </c>
      <c r="E221" s="12" t="s">
        <v>45</v>
      </c>
      <c r="F221" s="12" t="s">
        <v>29</v>
      </c>
      <c r="G221" s="12" t="n">
        <v>6</v>
      </c>
      <c r="H221" s="14" t="n">
        <v>244.98</v>
      </c>
      <c r="I221" s="15" t="n">
        <v>0.1</v>
      </c>
      <c r="J221" s="14" t="n">
        <v>8.7</v>
      </c>
    </row>
    <row r="222" customFormat="false" ht="15" hidden="false" customHeight="true" outlineLevel="0" collapsed="false">
      <c r="A222" s="12" t="s">
        <v>259</v>
      </c>
      <c r="B222" s="13" t="n">
        <v>45823</v>
      </c>
      <c r="C222" s="12" t="s">
        <v>34</v>
      </c>
      <c r="D222" s="12" t="s">
        <v>22</v>
      </c>
      <c r="E222" s="12" t="s">
        <v>23</v>
      </c>
      <c r="F222" s="12" t="s">
        <v>29</v>
      </c>
      <c r="G222" s="12" t="n">
        <v>3</v>
      </c>
      <c r="H222" s="14" t="n">
        <v>109.58</v>
      </c>
      <c r="I222" s="15" t="n">
        <v>0.3</v>
      </c>
      <c r="J222" s="14" t="n">
        <v>-6.4</v>
      </c>
    </row>
    <row r="223" customFormat="false" ht="15" hidden="false" customHeight="true" outlineLevel="0" collapsed="false">
      <c r="A223" s="12" t="s">
        <v>260</v>
      </c>
      <c r="B223" s="13" t="n">
        <v>45823</v>
      </c>
      <c r="C223" s="12" t="s">
        <v>26</v>
      </c>
      <c r="D223" s="12" t="s">
        <v>22</v>
      </c>
      <c r="E223" s="12" t="s">
        <v>23</v>
      </c>
      <c r="F223" s="12" t="s">
        <v>29</v>
      </c>
      <c r="G223" s="12" t="n">
        <v>6</v>
      </c>
      <c r="H223" s="14" t="n">
        <v>196.41</v>
      </c>
      <c r="I223" s="15" t="n">
        <v>0.3</v>
      </c>
      <c r="J223" s="14" t="n">
        <v>-30.75</v>
      </c>
    </row>
    <row r="224" customFormat="false" ht="15" hidden="false" customHeight="true" outlineLevel="0" collapsed="false">
      <c r="A224" s="12" t="s">
        <v>261</v>
      </c>
      <c r="B224" s="13" t="n">
        <v>45823</v>
      </c>
      <c r="C224" s="12" t="s">
        <v>34</v>
      </c>
      <c r="D224" s="12" t="s">
        <v>31</v>
      </c>
      <c r="E224" s="12" t="s">
        <v>41</v>
      </c>
      <c r="F224" s="12" t="s">
        <v>24</v>
      </c>
      <c r="G224" s="12" t="n">
        <v>1</v>
      </c>
      <c r="H224" s="14" t="n">
        <v>215.23</v>
      </c>
      <c r="I224" s="15" t="n">
        <v>0.3</v>
      </c>
      <c r="J224" s="14" t="n">
        <v>7.78</v>
      </c>
    </row>
    <row r="225" customFormat="false" ht="15" hidden="false" customHeight="true" outlineLevel="0" collapsed="false">
      <c r="A225" s="12" t="s">
        <v>262</v>
      </c>
      <c r="B225" s="13" t="n">
        <v>45824</v>
      </c>
      <c r="C225" s="12" t="s">
        <v>34</v>
      </c>
      <c r="D225" s="12" t="s">
        <v>27</v>
      </c>
      <c r="E225" s="12" t="s">
        <v>43</v>
      </c>
      <c r="F225" s="12" t="s">
        <v>35</v>
      </c>
      <c r="G225" s="12" t="n">
        <v>4</v>
      </c>
      <c r="H225" s="14" t="n">
        <v>1073.09</v>
      </c>
      <c r="I225" s="15" t="n">
        <v>0</v>
      </c>
      <c r="J225" s="14" t="n">
        <v>106.08</v>
      </c>
    </row>
    <row r="226" customFormat="false" ht="15" hidden="false" customHeight="true" outlineLevel="0" collapsed="false">
      <c r="A226" s="12" t="s">
        <v>263</v>
      </c>
      <c r="B226" s="13" t="n">
        <v>45824</v>
      </c>
      <c r="C226" s="12" t="s">
        <v>39</v>
      </c>
      <c r="D226" s="12" t="s">
        <v>22</v>
      </c>
      <c r="E226" s="12" t="s">
        <v>45</v>
      </c>
      <c r="F226" s="12" t="s">
        <v>35</v>
      </c>
      <c r="G226" s="12" t="n">
        <v>1</v>
      </c>
      <c r="H226" s="14" t="n">
        <v>23.5</v>
      </c>
      <c r="I226" s="15" t="n">
        <v>0.3</v>
      </c>
      <c r="J226" s="14" t="n">
        <v>-3.13</v>
      </c>
    </row>
    <row r="227" customFormat="false" ht="15" hidden="false" customHeight="true" outlineLevel="0" collapsed="false">
      <c r="A227" s="12" t="s">
        <v>264</v>
      </c>
      <c r="B227" s="13" t="n">
        <v>45824</v>
      </c>
      <c r="C227" s="12" t="s">
        <v>21</v>
      </c>
      <c r="D227" s="12" t="s">
        <v>22</v>
      </c>
      <c r="E227" s="12" t="s">
        <v>48</v>
      </c>
      <c r="F227" s="12" t="s">
        <v>24</v>
      </c>
      <c r="G227" s="12" t="n">
        <v>7</v>
      </c>
      <c r="H227" s="14" t="n">
        <v>139.94</v>
      </c>
      <c r="I227" s="15" t="n">
        <v>0.4</v>
      </c>
      <c r="J227" s="14" t="n">
        <v>-27.08</v>
      </c>
    </row>
    <row r="228" customFormat="false" ht="15" hidden="false" customHeight="true" outlineLevel="0" collapsed="false">
      <c r="A228" s="12" t="s">
        <v>265</v>
      </c>
      <c r="B228" s="13" t="n">
        <v>45824</v>
      </c>
      <c r="C228" s="12" t="s">
        <v>39</v>
      </c>
      <c r="D228" s="12" t="s">
        <v>31</v>
      </c>
      <c r="E228" s="12" t="s">
        <v>32</v>
      </c>
      <c r="F228" s="12" t="s">
        <v>35</v>
      </c>
      <c r="G228" s="12" t="n">
        <v>4</v>
      </c>
      <c r="H228" s="14" t="n">
        <v>1597.51</v>
      </c>
      <c r="I228" s="15" t="n">
        <v>0</v>
      </c>
      <c r="J228" s="14" t="n">
        <v>455.95</v>
      </c>
    </row>
    <row r="229" customFormat="false" ht="15" hidden="false" customHeight="true" outlineLevel="0" collapsed="false">
      <c r="A229" s="12" t="s">
        <v>266</v>
      </c>
      <c r="B229" s="13" t="n">
        <v>45825</v>
      </c>
      <c r="C229" s="12" t="s">
        <v>34</v>
      </c>
      <c r="D229" s="12" t="s">
        <v>27</v>
      </c>
      <c r="E229" s="12" t="s">
        <v>43</v>
      </c>
      <c r="F229" s="12" t="s">
        <v>29</v>
      </c>
      <c r="G229" s="12" t="n">
        <v>3</v>
      </c>
      <c r="H229" s="14" t="n">
        <v>608.53</v>
      </c>
      <c r="I229" s="15" t="n">
        <v>0</v>
      </c>
      <c r="J229" s="14" t="n">
        <v>-7.99</v>
      </c>
    </row>
    <row r="230" customFormat="false" ht="15" hidden="false" customHeight="true" outlineLevel="0" collapsed="false">
      <c r="A230" s="12" t="s">
        <v>267</v>
      </c>
      <c r="B230" s="13" t="n">
        <v>45826</v>
      </c>
      <c r="C230" s="12" t="s">
        <v>39</v>
      </c>
      <c r="D230" s="12" t="s">
        <v>27</v>
      </c>
      <c r="E230" s="12" t="s">
        <v>43</v>
      </c>
      <c r="F230" s="12" t="s">
        <v>29</v>
      </c>
      <c r="G230" s="12" t="n">
        <v>5</v>
      </c>
      <c r="H230" s="14" t="n">
        <v>1188.17</v>
      </c>
      <c r="I230" s="15" t="n">
        <v>0</v>
      </c>
      <c r="J230" s="14" t="n">
        <v>-69.12</v>
      </c>
    </row>
    <row r="231" customFormat="false" ht="15" hidden="false" customHeight="true" outlineLevel="0" collapsed="false">
      <c r="A231" s="12" t="s">
        <v>268</v>
      </c>
      <c r="B231" s="13" t="n">
        <v>45827</v>
      </c>
      <c r="C231" s="12" t="s">
        <v>21</v>
      </c>
      <c r="D231" s="12" t="s">
        <v>22</v>
      </c>
      <c r="E231" s="12" t="s">
        <v>23</v>
      </c>
      <c r="F231" s="12" t="s">
        <v>24</v>
      </c>
      <c r="G231" s="12" t="n">
        <v>2</v>
      </c>
      <c r="H231" s="14" t="n">
        <v>112.81</v>
      </c>
      <c r="I231" s="15" t="n">
        <v>0</v>
      </c>
      <c r="J231" s="14" t="n">
        <v>12.84</v>
      </c>
    </row>
    <row r="232" customFormat="false" ht="15" hidden="false" customHeight="true" outlineLevel="0" collapsed="false">
      <c r="A232" s="12" t="s">
        <v>269</v>
      </c>
      <c r="B232" s="13" t="n">
        <v>45828</v>
      </c>
      <c r="C232" s="12" t="s">
        <v>39</v>
      </c>
      <c r="D232" s="12" t="s">
        <v>27</v>
      </c>
      <c r="E232" s="12" t="s">
        <v>43</v>
      </c>
      <c r="F232" s="12" t="s">
        <v>29</v>
      </c>
      <c r="G232" s="12" t="n">
        <v>4</v>
      </c>
      <c r="H232" s="14" t="n">
        <v>1323.3</v>
      </c>
      <c r="I232" s="15" t="n">
        <v>0</v>
      </c>
      <c r="J232" s="14" t="n">
        <v>12.12</v>
      </c>
    </row>
    <row r="233" customFormat="false" ht="15" hidden="false" customHeight="true" outlineLevel="0" collapsed="false">
      <c r="A233" s="12" t="s">
        <v>270</v>
      </c>
      <c r="B233" s="13" t="n">
        <v>45829</v>
      </c>
      <c r="C233" s="12" t="s">
        <v>26</v>
      </c>
      <c r="D233" s="12" t="s">
        <v>31</v>
      </c>
      <c r="E233" s="12" t="s">
        <v>32</v>
      </c>
      <c r="F233" s="12" t="s">
        <v>24</v>
      </c>
      <c r="G233" s="12" t="n">
        <v>3</v>
      </c>
      <c r="H233" s="14" t="n">
        <v>1505.48</v>
      </c>
      <c r="I233" s="15" t="n">
        <v>0.2</v>
      </c>
      <c r="J233" s="14" t="n">
        <v>144.7</v>
      </c>
    </row>
    <row r="234" customFormat="false" ht="15" hidden="false" customHeight="true" outlineLevel="0" collapsed="false">
      <c r="A234" s="12" t="s">
        <v>271</v>
      </c>
      <c r="B234" s="13" t="n">
        <v>45830</v>
      </c>
      <c r="C234" s="12" t="s">
        <v>34</v>
      </c>
      <c r="D234" s="12" t="s">
        <v>27</v>
      </c>
      <c r="E234" s="12" t="s">
        <v>51</v>
      </c>
      <c r="F234" s="12" t="s">
        <v>29</v>
      </c>
      <c r="G234" s="12" t="n">
        <v>4</v>
      </c>
      <c r="H234" s="14" t="n">
        <v>1197.87</v>
      </c>
      <c r="I234" s="15" t="n">
        <v>0</v>
      </c>
      <c r="J234" s="14" t="n">
        <v>43.76</v>
      </c>
    </row>
    <row r="235" customFormat="false" ht="15" hidden="false" customHeight="true" outlineLevel="0" collapsed="false">
      <c r="A235" s="12" t="s">
        <v>272</v>
      </c>
      <c r="B235" s="13" t="n">
        <v>45830</v>
      </c>
      <c r="C235" s="12" t="s">
        <v>39</v>
      </c>
      <c r="D235" s="12" t="s">
        <v>22</v>
      </c>
      <c r="E235" s="12" t="s">
        <v>45</v>
      </c>
      <c r="F235" s="12" t="s">
        <v>29</v>
      </c>
      <c r="G235" s="12" t="n">
        <v>6</v>
      </c>
      <c r="H235" s="14" t="n">
        <v>203.16</v>
      </c>
      <c r="I235" s="15" t="n">
        <v>0</v>
      </c>
      <c r="J235" s="14" t="n">
        <v>35.11</v>
      </c>
    </row>
    <row r="236" customFormat="false" ht="15" hidden="false" customHeight="true" outlineLevel="0" collapsed="false">
      <c r="A236" s="12" t="s">
        <v>273</v>
      </c>
      <c r="B236" s="13" t="n">
        <v>45832</v>
      </c>
      <c r="C236" s="12" t="s">
        <v>34</v>
      </c>
      <c r="D236" s="12" t="s">
        <v>27</v>
      </c>
      <c r="E236" s="12" t="s">
        <v>28</v>
      </c>
      <c r="F236" s="12" t="s">
        <v>29</v>
      </c>
      <c r="G236" s="12" t="n">
        <v>3</v>
      </c>
      <c r="H236" s="14" t="n">
        <v>698.2</v>
      </c>
      <c r="I236" s="15" t="n">
        <v>0</v>
      </c>
      <c r="J236" s="14" t="n">
        <v>20.49</v>
      </c>
    </row>
    <row r="237" customFormat="false" ht="15" hidden="false" customHeight="true" outlineLevel="0" collapsed="false">
      <c r="A237" s="12" t="s">
        <v>274</v>
      </c>
      <c r="B237" s="13" t="n">
        <v>45832</v>
      </c>
      <c r="C237" s="12" t="s">
        <v>26</v>
      </c>
      <c r="D237" s="12" t="s">
        <v>27</v>
      </c>
      <c r="E237" s="12" t="s">
        <v>51</v>
      </c>
      <c r="F237" s="12" t="s">
        <v>35</v>
      </c>
      <c r="G237" s="12" t="n">
        <v>3</v>
      </c>
      <c r="H237" s="14" t="n">
        <v>493.18</v>
      </c>
      <c r="I237" s="15" t="n">
        <v>0.4</v>
      </c>
      <c r="J237" s="14" t="n">
        <v>-213.74</v>
      </c>
    </row>
    <row r="238" customFormat="false" ht="15" hidden="false" customHeight="true" outlineLevel="0" collapsed="false">
      <c r="A238" s="12" t="s">
        <v>275</v>
      </c>
      <c r="B238" s="13" t="n">
        <v>45834</v>
      </c>
      <c r="C238" s="12" t="s">
        <v>26</v>
      </c>
      <c r="D238" s="12" t="s">
        <v>22</v>
      </c>
      <c r="E238" s="12" t="s">
        <v>45</v>
      </c>
      <c r="F238" s="12" t="s">
        <v>35</v>
      </c>
      <c r="G238" s="12" t="n">
        <v>6</v>
      </c>
      <c r="H238" s="14" t="n">
        <v>337.43</v>
      </c>
      <c r="I238" s="15" t="n">
        <v>0</v>
      </c>
      <c r="J238" s="14" t="n">
        <v>48.84</v>
      </c>
    </row>
    <row r="239" customFormat="false" ht="15" hidden="false" customHeight="true" outlineLevel="0" collapsed="false">
      <c r="A239" s="12" t="s">
        <v>276</v>
      </c>
      <c r="B239" s="13" t="n">
        <v>45834</v>
      </c>
      <c r="C239" s="12" t="s">
        <v>34</v>
      </c>
      <c r="D239" s="12" t="s">
        <v>31</v>
      </c>
      <c r="E239" s="12" t="s">
        <v>37</v>
      </c>
      <c r="F239" s="12" t="s">
        <v>35</v>
      </c>
      <c r="G239" s="12" t="n">
        <v>4</v>
      </c>
      <c r="H239" s="14" t="n">
        <v>2511.33</v>
      </c>
      <c r="I239" s="15" t="n">
        <v>0</v>
      </c>
      <c r="J239" s="14" t="n">
        <v>660.06</v>
      </c>
    </row>
    <row r="240" customFormat="false" ht="15" hidden="false" customHeight="true" outlineLevel="0" collapsed="false">
      <c r="A240" s="12" t="s">
        <v>277</v>
      </c>
      <c r="B240" s="13" t="n">
        <v>45836</v>
      </c>
      <c r="C240" s="12" t="s">
        <v>39</v>
      </c>
      <c r="D240" s="12" t="s">
        <v>27</v>
      </c>
      <c r="E240" s="12" t="s">
        <v>51</v>
      </c>
      <c r="F240" s="12" t="s">
        <v>24</v>
      </c>
      <c r="G240" s="12" t="n">
        <v>5</v>
      </c>
      <c r="H240" s="14" t="n">
        <v>1200.56</v>
      </c>
      <c r="I240" s="15" t="n">
        <v>0.3</v>
      </c>
      <c r="J240" s="14" t="n">
        <v>-411.03</v>
      </c>
    </row>
    <row r="241" customFormat="false" ht="15" hidden="false" customHeight="true" outlineLevel="0" collapsed="false">
      <c r="A241" s="12" t="s">
        <v>278</v>
      </c>
      <c r="B241" s="13" t="n">
        <v>45837</v>
      </c>
      <c r="C241" s="12" t="s">
        <v>39</v>
      </c>
      <c r="D241" s="12" t="s">
        <v>27</v>
      </c>
      <c r="E241" s="12" t="s">
        <v>43</v>
      </c>
      <c r="F241" s="12" t="s">
        <v>29</v>
      </c>
      <c r="G241" s="12" t="n">
        <v>6</v>
      </c>
      <c r="H241" s="14" t="n">
        <v>1565.3</v>
      </c>
      <c r="I241" s="15" t="n">
        <v>0</v>
      </c>
      <c r="J241" s="14" t="n">
        <v>-15.76</v>
      </c>
    </row>
    <row r="242" customFormat="false" ht="15" hidden="false" customHeight="true" outlineLevel="0" collapsed="false">
      <c r="A242" s="12" t="s">
        <v>279</v>
      </c>
      <c r="B242" s="13" t="n">
        <v>45838</v>
      </c>
      <c r="C242" s="12" t="s">
        <v>21</v>
      </c>
      <c r="D242" s="12" t="s">
        <v>22</v>
      </c>
      <c r="E242" s="12" t="s">
        <v>23</v>
      </c>
      <c r="F242" s="12" t="s">
        <v>29</v>
      </c>
      <c r="G242" s="12" t="n">
        <v>3</v>
      </c>
      <c r="H242" s="14" t="n">
        <v>101.11</v>
      </c>
      <c r="I242" s="15" t="n">
        <v>0.4</v>
      </c>
      <c r="J242" s="14" t="n">
        <v>-16.4</v>
      </c>
    </row>
    <row r="243" customFormat="false" ht="15" hidden="false" customHeight="true" outlineLevel="0" collapsed="false">
      <c r="A243" s="12" t="s">
        <v>280</v>
      </c>
      <c r="B243" s="13" t="n">
        <v>45838</v>
      </c>
      <c r="C243" s="12" t="s">
        <v>34</v>
      </c>
      <c r="D243" s="12" t="s">
        <v>22</v>
      </c>
      <c r="E243" s="12" t="s">
        <v>48</v>
      </c>
      <c r="F243" s="12" t="s">
        <v>29</v>
      </c>
      <c r="G243" s="12" t="n">
        <v>3</v>
      </c>
      <c r="H243" s="14" t="n">
        <v>79.56</v>
      </c>
      <c r="I243" s="15" t="n">
        <v>0.1</v>
      </c>
      <c r="J243" s="14" t="n">
        <v>17.53</v>
      </c>
    </row>
    <row r="244" customFormat="false" ht="15" hidden="false" customHeight="true" outlineLevel="0" collapsed="false">
      <c r="A244" s="12" t="s">
        <v>281</v>
      </c>
      <c r="B244" s="13" t="n">
        <v>45840</v>
      </c>
      <c r="C244" s="12" t="s">
        <v>21</v>
      </c>
      <c r="D244" s="12" t="s">
        <v>22</v>
      </c>
      <c r="E244" s="12" t="s">
        <v>48</v>
      </c>
      <c r="F244" s="12" t="s">
        <v>29</v>
      </c>
      <c r="G244" s="12" t="n">
        <v>3</v>
      </c>
      <c r="H244" s="14" t="n">
        <v>176.74</v>
      </c>
      <c r="I244" s="15" t="n">
        <v>0</v>
      </c>
      <c r="J244" s="14" t="n">
        <v>32.91</v>
      </c>
    </row>
    <row r="245" customFormat="false" ht="15" hidden="false" customHeight="true" outlineLevel="0" collapsed="false">
      <c r="A245" s="12" t="s">
        <v>282</v>
      </c>
      <c r="B245" s="13" t="n">
        <v>45840</v>
      </c>
      <c r="C245" s="12" t="s">
        <v>39</v>
      </c>
      <c r="D245" s="12" t="s">
        <v>31</v>
      </c>
      <c r="E245" s="12" t="s">
        <v>41</v>
      </c>
      <c r="F245" s="12" t="s">
        <v>24</v>
      </c>
      <c r="G245" s="12" t="n">
        <v>4</v>
      </c>
      <c r="H245" s="14" t="n">
        <v>2245.16</v>
      </c>
      <c r="I245" s="15" t="n">
        <v>0</v>
      </c>
      <c r="J245" s="14" t="n">
        <v>635.28</v>
      </c>
    </row>
    <row r="246" customFormat="false" ht="15" hidden="false" customHeight="true" outlineLevel="0" collapsed="false">
      <c r="A246" s="12" t="s">
        <v>283</v>
      </c>
      <c r="B246" s="13" t="n">
        <v>45841</v>
      </c>
      <c r="C246" s="12" t="s">
        <v>39</v>
      </c>
      <c r="D246" s="12" t="s">
        <v>22</v>
      </c>
      <c r="E246" s="12" t="s">
        <v>45</v>
      </c>
      <c r="F246" s="12" t="s">
        <v>24</v>
      </c>
      <c r="G246" s="12" t="n">
        <v>7</v>
      </c>
      <c r="H246" s="14" t="n">
        <v>349.7</v>
      </c>
      <c r="I246" s="15" t="n">
        <v>0</v>
      </c>
      <c r="J246" s="14" t="n">
        <v>42.97</v>
      </c>
    </row>
    <row r="247" customFormat="false" ht="15" hidden="false" customHeight="true" outlineLevel="0" collapsed="false">
      <c r="A247" s="12" t="s">
        <v>284</v>
      </c>
      <c r="B247" s="13" t="n">
        <v>45842</v>
      </c>
      <c r="C247" s="12" t="s">
        <v>39</v>
      </c>
      <c r="D247" s="12" t="s">
        <v>31</v>
      </c>
      <c r="E247" s="12" t="s">
        <v>32</v>
      </c>
      <c r="F247" s="12" t="s">
        <v>24</v>
      </c>
      <c r="G247" s="12" t="n">
        <v>3</v>
      </c>
      <c r="H247" s="14" t="n">
        <v>1507.76</v>
      </c>
      <c r="I247" s="15" t="n">
        <v>0</v>
      </c>
      <c r="J247" s="14" t="n">
        <v>267.87</v>
      </c>
    </row>
    <row r="248" customFormat="false" ht="15" hidden="false" customHeight="true" outlineLevel="0" collapsed="false">
      <c r="A248" s="12" t="s">
        <v>285</v>
      </c>
      <c r="B248" s="13" t="n">
        <v>45842</v>
      </c>
      <c r="C248" s="12" t="s">
        <v>39</v>
      </c>
      <c r="D248" s="12" t="s">
        <v>31</v>
      </c>
      <c r="E248" s="12" t="s">
        <v>32</v>
      </c>
      <c r="F248" s="12" t="s">
        <v>29</v>
      </c>
      <c r="G248" s="12" t="n">
        <v>7</v>
      </c>
      <c r="H248" s="14" t="n">
        <v>3318.88</v>
      </c>
      <c r="I248" s="15" t="n">
        <v>0</v>
      </c>
      <c r="J248" s="14" t="n">
        <v>606.71</v>
      </c>
    </row>
    <row r="249" customFormat="false" ht="15" hidden="false" customHeight="true" outlineLevel="0" collapsed="false">
      <c r="A249" s="12" t="s">
        <v>286</v>
      </c>
      <c r="B249" s="13" t="n">
        <v>45843</v>
      </c>
      <c r="C249" s="12" t="s">
        <v>39</v>
      </c>
      <c r="D249" s="12" t="s">
        <v>27</v>
      </c>
      <c r="E249" s="12" t="s">
        <v>28</v>
      </c>
      <c r="F249" s="12" t="s">
        <v>35</v>
      </c>
      <c r="G249" s="12" t="n">
        <v>6</v>
      </c>
      <c r="H249" s="14" t="n">
        <v>1944.93</v>
      </c>
      <c r="I249" s="15" t="n">
        <v>0.1</v>
      </c>
      <c r="J249" s="14" t="n">
        <v>-152.34</v>
      </c>
    </row>
    <row r="250" customFormat="false" ht="15" hidden="false" customHeight="true" outlineLevel="0" collapsed="false">
      <c r="A250" s="12" t="s">
        <v>287</v>
      </c>
      <c r="B250" s="13" t="n">
        <v>45843</v>
      </c>
      <c r="C250" s="12" t="s">
        <v>39</v>
      </c>
      <c r="D250" s="12" t="s">
        <v>31</v>
      </c>
      <c r="E250" s="12" t="s">
        <v>41</v>
      </c>
      <c r="F250" s="12" t="s">
        <v>35</v>
      </c>
      <c r="G250" s="12" t="n">
        <v>1</v>
      </c>
      <c r="H250" s="14" t="n">
        <v>610.15</v>
      </c>
      <c r="I250" s="15" t="n">
        <v>0</v>
      </c>
      <c r="J250" s="14" t="n">
        <v>108.28</v>
      </c>
    </row>
    <row r="251" customFormat="false" ht="15" hidden="false" customHeight="true" outlineLevel="0" collapsed="false">
      <c r="A251" s="12" t="s">
        <v>288</v>
      </c>
      <c r="B251" s="13" t="n">
        <v>45843</v>
      </c>
      <c r="C251" s="12" t="s">
        <v>34</v>
      </c>
      <c r="D251" s="12" t="s">
        <v>22</v>
      </c>
      <c r="E251" s="12" t="s">
        <v>45</v>
      </c>
      <c r="F251" s="12" t="s">
        <v>29</v>
      </c>
      <c r="G251" s="12" t="n">
        <v>4</v>
      </c>
      <c r="H251" s="14" t="n">
        <v>79.49</v>
      </c>
      <c r="I251" s="15" t="n">
        <v>0.4</v>
      </c>
      <c r="J251" s="14" t="n">
        <v>-10.81</v>
      </c>
    </row>
    <row r="252" customFormat="false" ht="15" hidden="false" customHeight="true" outlineLevel="0" collapsed="false">
      <c r="A252" s="12" t="s">
        <v>289</v>
      </c>
      <c r="B252" s="13" t="n">
        <v>45846</v>
      </c>
      <c r="C252" s="12" t="s">
        <v>26</v>
      </c>
      <c r="D252" s="12" t="s">
        <v>27</v>
      </c>
      <c r="E252" s="12" t="s">
        <v>43</v>
      </c>
      <c r="F252" s="12" t="s">
        <v>29</v>
      </c>
      <c r="G252" s="12" t="n">
        <v>1</v>
      </c>
      <c r="H252" s="14" t="n">
        <v>278.44</v>
      </c>
      <c r="I252" s="15" t="n">
        <v>0.1</v>
      </c>
      <c r="J252" s="14" t="n">
        <v>-52.94</v>
      </c>
    </row>
    <row r="253" customFormat="false" ht="15" hidden="false" customHeight="true" outlineLevel="0" collapsed="false">
      <c r="A253" s="12" t="s">
        <v>290</v>
      </c>
      <c r="B253" s="13" t="n">
        <v>45847</v>
      </c>
      <c r="C253" s="12" t="s">
        <v>21</v>
      </c>
      <c r="D253" s="12" t="s">
        <v>22</v>
      </c>
      <c r="E253" s="12" t="s">
        <v>45</v>
      </c>
      <c r="F253" s="12" t="s">
        <v>29</v>
      </c>
      <c r="G253" s="12" t="n">
        <v>6</v>
      </c>
      <c r="H253" s="14" t="n">
        <v>223.56</v>
      </c>
      <c r="I253" s="15" t="n">
        <v>0</v>
      </c>
      <c r="J253" s="14" t="n">
        <v>44.14</v>
      </c>
    </row>
    <row r="254" customFormat="false" ht="15" hidden="false" customHeight="true" outlineLevel="0" collapsed="false">
      <c r="A254" s="12" t="s">
        <v>291</v>
      </c>
      <c r="B254" s="13" t="n">
        <v>45848</v>
      </c>
      <c r="C254" s="12" t="s">
        <v>34</v>
      </c>
      <c r="D254" s="12" t="s">
        <v>22</v>
      </c>
      <c r="E254" s="12" t="s">
        <v>23</v>
      </c>
      <c r="F254" s="12" t="s">
        <v>29</v>
      </c>
      <c r="G254" s="12" t="n">
        <v>1</v>
      </c>
      <c r="H254" s="14" t="n">
        <v>37.89</v>
      </c>
      <c r="I254" s="15" t="n">
        <v>0</v>
      </c>
      <c r="J254" s="14" t="n">
        <v>7.24</v>
      </c>
    </row>
    <row r="255" customFormat="false" ht="15" hidden="false" customHeight="true" outlineLevel="0" collapsed="false">
      <c r="A255" s="12" t="s">
        <v>292</v>
      </c>
      <c r="B255" s="13" t="n">
        <v>45849</v>
      </c>
      <c r="C255" s="12" t="s">
        <v>34</v>
      </c>
      <c r="D255" s="12" t="s">
        <v>22</v>
      </c>
      <c r="E255" s="12" t="s">
        <v>45</v>
      </c>
      <c r="F255" s="12" t="s">
        <v>29</v>
      </c>
      <c r="G255" s="12" t="n">
        <v>5</v>
      </c>
      <c r="H255" s="14" t="n">
        <v>233.04</v>
      </c>
      <c r="I255" s="15" t="n">
        <v>0.1</v>
      </c>
      <c r="J255" s="14" t="n">
        <v>26.69</v>
      </c>
    </row>
    <row r="256" customFormat="false" ht="15" hidden="false" customHeight="true" outlineLevel="0" collapsed="false">
      <c r="A256" s="12" t="s">
        <v>293</v>
      </c>
      <c r="B256" s="13" t="n">
        <v>45849</v>
      </c>
      <c r="C256" s="12" t="s">
        <v>34</v>
      </c>
      <c r="D256" s="12" t="s">
        <v>22</v>
      </c>
      <c r="E256" s="12" t="s">
        <v>45</v>
      </c>
      <c r="F256" s="12" t="s">
        <v>35</v>
      </c>
      <c r="G256" s="12" t="n">
        <v>7</v>
      </c>
      <c r="H256" s="14" t="n">
        <v>368.01</v>
      </c>
      <c r="I256" s="15" t="n">
        <v>0</v>
      </c>
      <c r="J256" s="14" t="n">
        <v>65.61</v>
      </c>
    </row>
    <row r="257" customFormat="false" ht="15" hidden="false" customHeight="true" outlineLevel="0" collapsed="false">
      <c r="A257" s="12" t="s">
        <v>294</v>
      </c>
      <c r="B257" s="13" t="n">
        <v>45850</v>
      </c>
      <c r="C257" s="12" t="s">
        <v>21</v>
      </c>
      <c r="D257" s="12" t="s">
        <v>22</v>
      </c>
      <c r="E257" s="12" t="s">
        <v>45</v>
      </c>
      <c r="F257" s="12" t="s">
        <v>29</v>
      </c>
      <c r="G257" s="12" t="n">
        <v>1</v>
      </c>
      <c r="H257" s="14" t="n">
        <v>44.23</v>
      </c>
      <c r="I257" s="15" t="n">
        <v>0</v>
      </c>
      <c r="J257" s="14" t="n">
        <v>7.55</v>
      </c>
    </row>
    <row r="258" customFormat="false" ht="15" hidden="false" customHeight="true" outlineLevel="0" collapsed="false">
      <c r="A258" s="12" t="s">
        <v>295</v>
      </c>
      <c r="B258" s="13" t="n">
        <v>45851</v>
      </c>
      <c r="C258" s="12" t="s">
        <v>26</v>
      </c>
      <c r="D258" s="12" t="s">
        <v>31</v>
      </c>
      <c r="E258" s="12" t="s">
        <v>32</v>
      </c>
      <c r="F258" s="12" t="s">
        <v>35</v>
      </c>
      <c r="G258" s="12" t="n">
        <v>4</v>
      </c>
      <c r="H258" s="14" t="n">
        <v>1175.38</v>
      </c>
      <c r="I258" s="15" t="n">
        <v>0.4</v>
      </c>
      <c r="J258" s="14" t="n">
        <v>-194.76</v>
      </c>
    </row>
    <row r="259" customFormat="false" ht="15" hidden="false" customHeight="true" outlineLevel="0" collapsed="false">
      <c r="A259" s="12" t="s">
        <v>296</v>
      </c>
      <c r="B259" s="13" t="n">
        <v>45851</v>
      </c>
      <c r="C259" s="12" t="s">
        <v>21</v>
      </c>
      <c r="D259" s="12" t="s">
        <v>31</v>
      </c>
      <c r="E259" s="12" t="s">
        <v>37</v>
      </c>
      <c r="F259" s="12" t="s">
        <v>29</v>
      </c>
      <c r="G259" s="12" t="n">
        <v>1</v>
      </c>
      <c r="H259" s="14" t="n">
        <v>300.37</v>
      </c>
      <c r="I259" s="15" t="n">
        <v>0.1</v>
      </c>
      <c r="J259" s="14" t="n">
        <v>71.88</v>
      </c>
    </row>
    <row r="260" customFormat="false" ht="15" hidden="false" customHeight="true" outlineLevel="0" collapsed="false">
      <c r="A260" s="12" t="s">
        <v>297</v>
      </c>
      <c r="B260" s="13" t="n">
        <v>45851</v>
      </c>
      <c r="C260" s="12" t="s">
        <v>39</v>
      </c>
      <c r="D260" s="12" t="s">
        <v>22</v>
      </c>
      <c r="E260" s="12" t="s">
        <v>48</v>
      </c>
      <c r="F260" s="12" t="s">
        <v>29</v>
      </c>
      <c r="G260" s="12" t="n">
        <v>3</v>
      </c>
      <c r="H260" s="14" t="n">
        <v>148.01</v>
      </c>
      <c r="I260" s="15" t="n">
        <v>0</v>
      </c>
      <c r="J260" s="14" t="n">
        <v>17.44</v>
      </c>
    </row>
    <row r="261" customFormat="false" ht="15" hidden="false" customHeight="true" outlineLevel="0" collapsed="false">
      <c r="A261" s="12" t="s">
        <v>298</v>
      </c>
      <c r="B261" s="13" t="n">
        <v>45852</v>
      </c>
      <c r="C261" s="12" t="s">
        <v>26</v>
      </c>
      <c r="D261" s="12" t="s">
        <v>31</v>
      </c>
      <c r="E261" s="12" t="s">
        <v>32</v>
      </c>
      <c r="F261" s="12" t="s">
        <v>29</v>
      </c>
      <c r="G261" s="12" t="n">
        <v>2</v>
      </c>
      <c r="H261" s="14" t="n">
        <v>1238.89</v>
      </c>
      <c r="I261" s="15" t="n">
        <v>0</v>
      </c>
      <c r="J261" s="14" t="n">
        <v>185.46</v>
      </c>
    </row>
    <row r="262" customFormat="false" ht="15" hidden="false" customHeight="true" outlineLevel="0" collapsed="false">
      <c r="A262" s="12" t="s">
        <v>299</v>
      </c>
      <c r="B262" s="13" t="n">
        <v>45852</v>
      </c>
      <c r="C262" s="12" t="s">
        <v>39</v>
      </c>
      <c r="D262" s="12" t="s">
        <v>22</v>
      </c>
      <c r="E262" s="12" t="s">
        <v>45</v>
      </c>
      <c r="F262" s="12" t="s">
        <v>29</v>
      </c>
      <c r="G262" s="12" t="n">
        <v>3</v>
      </c>
      <c r="H262" s="14" t="n">
        <v>120.54</v>
      </c>
      <c r="I262" s="15" t="n">
        <v>0.2</v>
      </c>
      <c r="J262" s="14" t="n">
        <v>-1.54</v>
      </c>
    </row>
    <row r="263" customFormat="false" ht="15" hidden="false" customHeight="true" outlineLevel="0" collapsed="false">
      <c r="A263" s="12" t="s">
        <v>300</v>
      </c>
      <c r="B263" s="13" t="n">
        <v>45853</v>
      </c>
      <c r="C263" s="12" t="s">
        <v>21</v>
      </c>
      <c r="D263" s="12" t="s">
        <v>22</v>
      </c>
      <c r="E263" s="12" t="s">
        <v>45</v>
      </c>
      <c r="F263" s="12" t="s">
        <v>24</v>
      </c>
      <c r="G263" s="12" t="n">
        <v>2</v>
      </c>
      <c r="H263" s="14" t="n">
        <v>74.7</v>
      </c>
      <c r="I263" s="15" t="n">
        <v>0.1</v>
      </c>
      <c r="J263" s="14" t="n">
        <v>9.84</v>
      </c>
    </row>
    <row r="264" customFormat="false" ht="15" hidden="false" customHeight="true" outlineLevel="0" collapsed="false">
      <c r="A264" s="12" t="s">
        <v>301</v>
      </c>
      <c r="B264" s="13" t="n">
        <v>45854</v>
      </c>
      <c r="C264" s="12" t="s">
        <v>34</v>
      </c>
      <c r="D264" s="12" t="s">
        <v>22</v>
      </c>
      <c r="E264" s="12" t="s">
        <v>23</v>
      </c>
      <c r="F264" s="12" t="s">
        <v>24</v>
      </c>
      <c r="G264" s="12" t="n">
        <v>4</v>
      </c>
      <c r="H264" s="14" t="n">
        <v>180.26</v>
      </c>
      <c r="I264" s="15" t="n">
        <v>0.2</v>
      </c>
      <c r="J264" s="14" t="n">
        <v>-3.47</v>
      </c>
    </row>
    <row r="265" customFormat="false" ht="15" hidden="false" customHeight="true" outlineLevel="0" collapsed="false">
      <c r="A265" s="12" t="s">
        <v>302</v>
      </c>
      <c r="B265" s="13" t="n">
        <v>45855</v>
      </c>
      <c r="C265" s="12" t="s">
        <v>39</v>
      </c>
      <c r="D265" s="12" t="s">
        <v>22</v>
      </c>
      <c r="E265" s="12" t="s">
        <v>23</v>
      </c>
      <c r="F265" s="12" t="s">
        <v>29</v>
      </c>
      <c r="G265" s="12" t="n">
        <v>2</v>
      </c>
      <c r="H265" s="14" t="n">
        <v>60.57</v>
      </c>
      <c r="I265" s="15" t="n">
        <v>0</v>
      </c>
      <c r="J265" s="14" t="n">
        <v>9.65</v>
      </c>
    </row>
    <row r="266" customFormat="false" ht="15" hidden="false" customHeight="true" outlineLevel="0" collapsed="false">
      <c r="A266" s="12" t="s">
        <v>303</v>
      </c>
      <c r="B266" s="13" t="n">
        <v>45856</v>
      </c>
      <c r="C266" s="12" t="s">
        <v>39</v>
      </c>
      <c r="D266" s="12" t="s">
        <v>22</v>
      </c>
      <c r="E266" s="12" t="s">
        <v>48</v>
      </c>
      <c r="F266" s="12" t="s">
        <v>29</v>
      </c>
      <c r="G266" s="12" t="n">
        <v>7</v>
      </c>
      <c r="H266" s="14" t="n">
        <v>188.74</v>
      </c>
      <c r="I266" s="15" t="n">
        <v>0.3</v>
      </c>
      <c r="J266" s="14" t="n">
        <v>-17.68</v>
      </c>
    </row>
    <row r="267" customFormat="false" ht="15" hidden="false" customHeight="true" outlineLevel="0" collapsed="false">
      <c r="A267" s="12" t="s">
        <v>304</v>
      </c>
      <c r="B267" s="13" t="n">
        <v>45856</v>
      </c>
      <c r="C267" s="12" t="s">
        <v>39</v>
      </c>
      <c r="D267" s="12" t="s">
        <v>31</v>
      </c>
      <c r="E267" s="12" t="s">
        <v>32</v>
      </c>
      <c r="F267" s="12" t="s">
        <v>29</v>
      </c>
      <c r="G267" s="12" t="n">
        <v>1</v>
      </c>
      <c r="H267" s="14" t="n">
        <v>352.19</v>
      </c>
      <c r="I267" s="15" t="n">
        <v>0.2</v>
      </c>
      <c r="J267" s="14" t="n">
        <v>35.84</v>
      </c>
    </row>
    <row r="268" customFormat="false" ht="15" hidden="false" customHeight="true" outlineLevel="0" collapsed="false">
      <c r="A268" s="12" t="s">
        <v>305</v>
      </c>
      <c r="B268" s="13" t="n">
        <v>45856</v>
      </c>
      <c r="C268" s="12" t="s">
        <v>39</v>
      </c>
      <c r="D268" s="12" t="s">
        <v>22</v>
      </c>
      <c r="E268" s="12" t="s">
        <v>45</v>
      </c>
      <c r="F268" s="12" t="s">
        <v>29</v>
      </c>
      <c r="G268" s="12" t="n">
        <v>6</v>
      </c>
      <c r="H268" s="14" t="n">
        <v>292.99</v>
      </c>
      <c r="I268" s="15" t="n">
        <v>0</v>
      </c>
      <c r="J268" s="14" t="n">
        <v>83.17</v>
      </c>
    </row>
    <row r="269" customFormat="false" ht="15" hidden="false" customHeight="true" outlineLevel="0" collapsed="false">
      <c r="A269" s="12" t="s">
        <v>306</v>
      </c>
      <c r="B269" s="13" t="n">
        <v>45857</v>
      </c>
      <c r="C269" s="12" t="s">
        <v>39</v>
      </c>
      <c r="D269" s="12" t="s">
        <v>22</v>
      </c>
      <c r="E269" s="12" t="s">
        <v>23</v>
      </c>
      <c r="F269" s="12" t="s">
        <v>29</v>
      </c>
      <c r="G269" s="12" t="n">
        <v>5</v>
      </c>
      <c r="H269" s="14" t="n">
        <v>251.02</v>
      </c>
      <c r="I269" s="15" t="n">
        <v>0</v>
      </c>
      <c r="J269" s="14" t="n">
        <v>37.32</v>
      </c>
    </row>
    <row r="270" customFormat="false" ht="15" hidden="false" customHeight="true" outlineLevel="0" collapsed="false">
      <c r="A270" s="12" t="s">
        <v>307</v>
      </c>
      <c r="B270" s="13" t="n">
        <v>45858</v>
      </c>
      <c r="C270" s="12" t="s">
        <v>21</v>
      </c>
      <c r="D270" s="12" t="s">
        <v>22</v>
      </c>
      <c r="E270" s="12" t="s">
        <v>45</v>
      </c>
      <c r="F270" s="12" t="s">
        <v>35</v>
      </c>
      <c r="G270" s="12" t="n">
        <v>1</v>
      </c>
      <c r="H270" s="14" t="n">
        <v>27.2</v>
      </c>
      <c r="I270" s="15" t="n">
        <v>0</v>
      </c>
      <c r="J270" s="14" t="n">
        <v>3.96</v>
      </c>
    </row>
    <row r="271" customFormat="false" ht="15" hidden="false" customHeight="true" outlineLevel="0" collapsed="false">
      <c r="A271" s="12" t="s">
        <v>308</v>
      </c>
      <c r="B271" s="13" t="n">
        <v>45859</v>
      </c>
      <c r="C271" s="12" t="s">
        <v>39</v>
      </c>
      <c r="D271" s="12" t="s">
        <v>31</v>
      </c>
      <c r="E271" s="12" t="s">
        <v>32</v>
      </c>
      <c r="F271" s="12" t="s">
        <v>24</v>
      </c>
      <c r="G271" s="12" t="n">
        <v>6</v>
      </c>
      <c r="H271" s="14" t="n">
        <v>3316.25</v>
      </c>
      <c r="I271" s="15" t="n">
        <v>0</v>
      </c>
      <c r="J271" s="14" t="n">
        <v>1050.49</v>
      </c>
    </row>
    <row r="272" customFormat="false" ht="15" hidden="false" customHeight="true" outlineLevel="0" collapsed="false">
      <c r="A272" s="12" t="s">
        <v>309</v>
      </c>
      <c r="B272" s="13" t="n">
        <v>45859</v>
      </c>
      <c r="C272" s="12" t="s">
        <v>39</v>
      </c>
      <c r="D272" s="12" t="s">
        <v>22</v>
      </c>
      <c r="E272" s="12" t="s">
        <v>23</v>
      </c>
      <c r="F272" s="12" t="s">
        <v>35</v>
      </c>
      <c r="G272" s="12" t="n">
        <v>7</v>
      </c>
      <c r="H272" s="14" t="n">
        <v>181.04</v>
      </c>
      <c r="I272" s="15" t="n">
        <v>0</v>
      </c>
      <c r="J272" s="14" t="n">
        <v>31.28</v>
      </c>
    </row>
    <row r="273" customFormat="false" ht="15" hidden="false" customHeight="true" outlineLevel="0" collapsed="false">
      <c r="A273" s="12" t="s">
        <v>310</v>
      </c>
      <c r="B273" s="13" t="n">
        <v>45860</v>
      </c>
      <c r="C273" s="12" t="s">
        <v>26</v>
      </c>
      <c r="D273" s="12" t="s">
        <v>22</v>
      </c>
      <c r="E273" s="12" t="s">
        <v>48</v>
      </c>
      <c r="F273" s="12" t="s">
        <v>29</v>
      </c>
      <c r="G273" s="12" t="n">
        <v>6</v>
      </c>
      <c r="H273" s="14" t="n">
        <v>223.18</v>
      </c>
      <c r="I273" s="15" t="n">
        <v>0</v>
      </c>
      <c r="J273" s="14" t="n">
        <v>28.23</v>
      </c>
    </row>
    <row r="274" customFormat="false" ht="15" hidden="false" customHeight="true" outlineLevel="0" collapsed="false">
      <c r="A274" s="12" t="s">
        <v>311</v>
      </c>
      <c r="B274" s="13" t="n">
        <v>45860</v>
      </c>
      <c r="C274" s="12" t="s">
        <v>34</v>
      </c>
      <c r="D274" s="12" t="s">
        <v>22</v>
      </c>
      <c r="E274" s="12" t="s">
        <v>48</v>
      </c>
      <c r="F274" s="12" t="s">
        <v>29</v>
      </c>
      <c r="G274" s="12" t="n">
        <v>3</v>
      </c>
      <c r="H274" s="14" t="n">
        <v>111.43</v>
      </c>
      <c r="I274" s="15" t="n">
        <v>0</v>
      </c>
      <c r="J274" s="14" t="n">
        <v>9.92</v>
      </c>
    </row>
    <row r="275" customFormat="false" ht="15" hidden="false" customHeight="true" outlineLevel="0" collapsed="false">
      <c r="A275" s="12" t="s">
        <v>312</v>
      </c>
      <c r="B275" s="13" t="n">
        <v>45861</v>
      </c>
      <c r="C275" s="12" t="s">
        <v>39</v>
      </c>
      <c r="D275" s="12" t="s">
        <v>22</v>
      </c>
      <c r="E275" s="12" t="s">
        <v>45</v>
      </c>
      <c r="F275" s="12" t="s">
        <v>24</v>
      </c>
      <c r="G275" s="12" t="n">
        <v>7</v>
      </c>
      <c r="H275" s="14" t="n">
        <v>159.5</v>
      </c>
      <c r="I275" s="15" t="n">
        <v>0.3</v>
      </c>
      <c r="J275" s="14" t="n">
        <v>-13.87</v>
      </c>
    </row>
    <row r="276" customFormat="false" ht="15" hidden="false" customHeight="true" outlineLevel="0" collapsed="false">
      <c r="A276" s="12" t="s">
        <v>313</v>
      </c>
      <c r="B276" s="13" t="n">
        <v>45862</v>
      </c>
      <c r="C276" s="12" t="s">
        <v>26</v>
      </c>
      <c r="D276" s="12" t="s">
        <v>27</v>
      </c>
      <c r="E276" s="12" t="s">
        <v>51</v>
      </c>
      <c r="F276" s="12" t="s">
        <v>35</v>
      </c>
      <c r="G276" s="12" t="n">
        <v>1</v>
      </c>
      <c r="H276" s="14" t="n">
        <v>166.5</v>
      </c>
      <c r="I276" s="15" t="n">
        <v>0</v>
      </c>
      <c r="J276" s="14" t="n">
        <v>-1.3</v>
      </c>
    </row>
    <row r="277" customFormat="false" ht="15" hidden="false" customHeight="true" outlineLevel="0" collapsed="false">
      <c r="A277" s="12" t="s">
        <v>314</v>
      </c>
      <c r="B277" s="13" t="n">
        <v>45862</v>
      </c>
      <c r="C277" s="12" t="s">
        <v>26</v>
      </c>
      <c r="D277" s="12" t="s">
        <v>22</v>
      </c>
      <c r="E277" s="12" t="s">
        <v>23</v>
      </c>
      <c r="F277" s="12" t="s">
        <v>29</v>
      </c>
      <c r="G277" s="12" t="n">
        <v>4</v>
      </c>
      <c r="H277" s="14" t="n">
        <v>181.71</v>
      </c>
      <c r="I277" s="15" t="n">
        <v>0</v>
      </c>
      <c r="J277" s="14" t="n">
        <v>16.63</v>
      </c>
    </row>
    <row r="278" customFormat="false" ht="15" hidden="false" customHeight="true" outlineLevel="0" collapsed="false">
      <c r="A278" s="12" t="s">
        <v>315</v>
      </c>
      <c r="B278" s="13" t="n">
        <v>45864</v>
      </c>
      <c r="C278" s="12" t="s">
        <v>39</v>
      </c>
      <c r="D278" s="12" t="s">
        <v>22</v>
      </c>
      <c r="E278" s="12" t="s">
        <v>48</v>
      </c>
      <c r="F278" s="12" t="s">
        <v>24</v>
      </c>
      <c r="G278" s="12" t="n">
        <v>2</v>
      </c>
      <c r="H278" s="14" t="n">
        <v>90.94</v>
      </c>
      <c r="I278" s="15" t="n">
        <v>0</v>
      </c>
      <c r="J278" s="14" t="n">
        <v>15.29</v>
      </c>
    </row>
    <row r="279" customFormat="false" ht="15" hidden="false" customHeight="true" outlineLevel="0" collapsed="false">
      <c r="A279" s="12" t="s">
        <v>316</v>
      </c>
      <c r="B279" s="13" t="n">
        <v>45864</v>
      </c>
      <c r="C279" s="12" t="s">
        <v>26</v>
      </c>
      <c r="D279" s="12" t="s">
        <v>31</v>
      </c>
      <c r="E279" s="12" t="s">
        <v>41</v>
      </c>
      <c r="F279" s="12" t="s">
        <v>29</v>
      </c>
      <c r="G279" s="12" t="n">
        <v>4</v>
      </c>
      <c r="H279" s="14" t="n">
        <v>1311.92</v>
      </c>
      <c r="I279" s="15" t="n">
        <v>0.1</v>
      </c>
      <c r="J279" s="14" t="n">
        <v>210.51</v>
      </c>
    </row>
    <row r="280" customFormat="false" ht="15" hidden="false" customHeight="true" outlineLevel="0" collapsed="false">
      <c r="A280" s="12" t="s">
        <v>317</v>
      </c>
      <c r="B280" s="13" t="n">
        <v>45864</v>
      </c>
      <c r="C280" s="12" t="s">
        <v>21</v>
      </c>
      <c r="D280" s="12" t="s">
        <v>31</v>
      </c>
      <c r="E280" s="12" t="s">
        <v>37</v>
      </c>
      <c r="F280" s="12" t="s">
        <v>29</v>
      </c>
      <c r="G280" s="12" t="n">
        <v>5</v>
      </c>
      <c r="H280" s="14" t="n">
        <v>1365.45</v>
      </c>
      <c r="I280" s="15" t="n">
        <v>0.4</v>
      </c>
      <c r="J280" s="14" t="n">
        <v>-90.11</v>
      </c>
    </row>
    <row r="281" customFormat="false" ht="15" hidden="false" customHeight="true" outlineLevel="0" collapsed="false">
      <c r="A281" s="12" t="s">
        <v>318</v>
      </c>
      <c r="B281" s="13" t="n">
        <v>45865</v>
      </c>
      <c r="C281" s="12" t="s">
        <v>34</v>
      </c>
      <c r="D281" s="12" t="s">
        <v>27</v>
      </c>
      <c r="E281" s="12" t="s">
        <v>43</v>
      </c>
      <c r="F281" s="12" t="s">
        <v>29</v>
      </c>
      <c r="G281" s="12" t="n">
        <v>6</v>
      </c>
      <c r="H281" s="14" t="n">
        <v>665.93</v>
      </c>
      <c r="I281" s="15" t="n">
        <v>0.4</v>
      </c>
      <c r="J281" s="14" t="n">
        <v>-241.01</v>
      </c>
    </row>
    <row r="282" customFormat="false" ht="15" hidden="false" customHeight="true" outlineLevel="0" collapsed="false">
      <c r="A282" s="12" t="s">
        <v>319</v>
      </c>
      <c r="B282" s="13" t="n">
        <v>45865</v>
      </c>
      <c r="C282" s="12" t="s">
        <v>21</v>
      </c>
      <c r="D282" s="12" t="s">
        <v>31</v>
      </c>
      <c r="E282" s="12" t="s">
        <v>41</v>
      </c>
      <c r="F282" s="12" t="s">
        <v>24</v>
      </c>
      <c r="G282" s="12" t="n">
        <v>1</v>
      </c>
      <c r="H282" s="14" t="n">
        <v>277.94</v>
      </c>
      <c r="I282" s="15" t="n">
        <v>0</v>
      </c>
      <c r="J282" s="14" t="n">
        <v>61.74</v>
      </c>
    </row>
    <row r="283" customFormat="false" ht="15" hidden="false" customHeight="true" outlineLevel="0" collapsed="false">
      <c r="A283" s="12" t="s">
        <v>320</v>
      </c>
      <c r="B283" s="13" t="n">
        <v>45866</v>
      </c>
      <c r="C283" s="12" t="s">
        <v>21</v>
      </c>
      <c r="D283" s="12" t="s">
        <v>31</v>
      </c>
      <c r="E283" s="12" t="s">
        <v>41</v>
      </c>
      <c r="F283" s="12" t="s">
        <v>24</v>
      </c>
      <c r="G283" s="12" t="n">
        <v>7</v>
      </c>
      <c r="H283" s="14" t="n">
        <v>2093.79</v>
      </c>
      <c r="I283" s="15" t="n">
        <v>0.2</v>
      </c>
      <c r="J283" s="14" t="n">
        <v>155.36</v>
      </c>
    </row>
    <row r="284" customFormat="false" ht="15" hidden="false" customHeight="true" outlineLevel="0" collapsed="false">
      <c r="A284" s="12" t="s">
        <v>321</v>
      </c>
      <c r="B284" s="13" t="n">
        <v>45867</v>
      </c>
      <c r="C284" s="12" t="s">
        <v>26</v>
      </c>
      <c r="D284" s="12" t="s">
        <v>31</v>
      </c>
      <c r="E284" s="12" t="s">
        <v>32</v>
      </c>
      <c r="F284" s="12" t="s">
        <v>29</v>
      </c>
      <c r="G284" s="12" t="n">
        <v>5</v>
      </c>
      <c r="H284" s="14" t="n">
        <v>2689.07</v>
      </c>
      <c r="I284" s="15" t="n">
        <v>0</v>
      </c>
      <c r="J284" s="14" t="n">
        <v>605.84</v>
      </c>
    </row>
    <row r="285" customFormat="false" ht="15" hidden="false" customHeight="true" outlineLevel="0" collapsed="false">
      <c r="A285" s="12" t="s">
        <v>322</v>
      </c>
      <c r="B285" s="13" t="n">
        <v>45867</v>
      </c>
      <c r="C285" s="12" t="s">
        <v>34</v>
      </c>
      <c r="D285" s="12" t="s">
        <v>27</v>
      </c>
      <c r="E285" s="12" t="s">
        <v>28</v>
      </c>
      <c r="F285" s="12" t="s">
        <v>29</v>
      </c>
      <c r="G285" s="12" t="n">
        <v>6</v>
      </c>
      <c r="H285" s="14" t="n">
        <v>803.92</v>
      </c>
      <c r="I285" s="15" t="n">
        <v>0.2</v>
      </c>
      <c r="J285" s="14" t="n">
        <v>-144.03</v>
      </c>
    </row>
    <row r="286" customFormat="false" ht="15" hidden="false" customHeight="true" outlineLevel="0" collapsed="false">
      <c r="A286" s="12" t="s">
        <v>323</v>
      </c>
      <c r="B286" s="13" t="n">
        <v>45867</v>
      </c>
      <c r="C286" s="12" t="s">
        <v>26</v>
      </c>
      <c r="D286" s="12" t="s">
        <v>22</v>
      </c>
      <c r="E286" s="12" t="s">
        <v>23</v>
      </c>
      <c r="F286" s="12" t="s">
        <v>24</v>
      </c>
      <c r="G286" s="12" t="n">
        <v>5</v>
      </c>
      <c r="H286" s="14" t="n">
        <v>235.48</v>
      </c>
      <c r="I286" s="15" t="n">
        <v>0</v>
      </c>
      <c r="J286" s="14" t="n">
        <v>22.77</v>
      </c>
    </row>
    <row r="287" customFormat="false" ht="15" hidden="false" customHeight="true" outlineLevel="0" collapsed="false">
      <c r="A287" s="12" t="s">
        <v>324</v>
      </c>
      <c r="B287" s="13" t="n">
        <v>45868</v>
      </c>
      <c r="C287" s="12" t="s">
        <v>39</v>
      </c>
      <c r="D287" s="12" t="s">
        <v>27</v>
      </c>
      <c r="E287" s="12" t="s">
        <v>28</v>
      </c>
      <c r="F287" s="12" t="s">
        <v>24</v>
      </c>
      <c r="G287" s="12" t="n">
        <v>7</v>
      </c>
      <c r="H287" s="14" t="n">
        <v>1322.57</v>
      </c>
      <c r="I287" s="15" t="n">
        <v>0.4</v>
      </c>
      <c r="J287" s="14" t="n">
        <v>-562.16</v>
      </c>
    </row>
    <row r="288" customFormat="false" ht="15" hidden="false" customHeight="true" outlineLevel="0" collapsed="false">
      <c r="A288" s="12" t="s">
        <v>325</v>
      </c>
      <c r="B288" s="13" t="n">
        <v>45869</v>
      </c>
      <c r="C288" s="12" t="s">
        <v>26</v>
      </c>
      <c r="D288" s="12" t="s">
        <v>22</v>
      </c>
      <c r="E288" s="12" t="s">
        <v>45</v>
      </c>
      <c r="F288" s="12" t="s">
        <v>35</v>
      </c>
      <c r="G288" s="12" t="n">
        <v>2</v>
      </c>
      <c r="H288" s="14" t="n">
        <v>54.44</v>
      </c>
      <c r="I288" s="15" t="n">
        <v>0.4</v>
      </c>
      <c r="J288" s="14" t="n">
        <v>-13.7</v>
      </c>
    </row>
    <row r="289" customFormat="false" ht="15" hidden="false" customHeight="true" outlineLevel="0" collapsed="false">
      <c r="A289" s="12" t="s">
        <v>326</v>
      </c>
      <c r="B289" s="13" t="n">
        <v>45870</v>
      </c>
      <c r="C289" s="12" t="s">
        <v>21</v>
      </c>
      <c r="D289" s="12" t="s">
        <v>22</v>
      </c>
      <c r="E289" s="12" t="s">
        <v>48</v>
      </c>
      <c r="F289" s="12" t="s">
        <v>24</v>
      </c>
      <c r="G289" s="12" t="n">
        <v>3</v>
      </c>
      <c r="H289" s="14" t="n">
        <v>100.59</v>
      </c>
      <c r="I289" s="15" t="n">
        <v>0.1</v>
      </c>
      <c r="J289" s="14" t="n">
        <v>5.86</v>
      </c>
    </row>
    <row r="290" customFormat="false" ht="15" hidden="false" customHeight="true" outlineLevel="0" collapsed="false">
      <c r="A290" s="12" t="s">
        <v>327</v>
      </c>
      <c r="B290" s="13" t="n">
        <v>45870</v>
      </c>
      <c r="C290" s="12" t="s">
        <v>34</v>
      </c>
      <c r="D290" s="12" t="s">
        <v>27</v>
      </c>
      <c r="E290" s="12" t="s">
        <v>43</v>
      </c>
      <c r="F290" s="12" t="s">
        <v>35</v>
      </c>
      <c r="G290" s="12" t="n">
        <v>2</v>
      </c>
      <c r="H290" s="14" t="n">
        <v>329.05</v>
      </c>
      <c r="I290" s="15" t="n">
        <v>0.4</v>
      </c>
      <c r="J290" s="14" t="n">
        <v>-140.21</v>
      </c>
    </row>
    <row r="291" customFormat="false" ht="15" hidden="false" customHeight="true" outlineLevel="0" collapsed="false">
      <c r="A291" s="12" t="s">
        <v>328</v>
      </c>
      <c r="B291" s="13" t="n">
        <v>45871</v>
      </c>
      <c r="C291" s="12" t="s">
        <v>26</v>
      </c>
      <c r="D291" s="12" t="s">
        <v>22</v>
      </c>
      <c r="E291" s="12" t="s">
        <v>45</v>
      </c>
      <c r="F291" s="12" t="s">
        <v>29</v>
      </c>
      <c r="G291" s="12" t="n">
        <v>6</v>
      </c>
      <c r="H291" s="14" t="n">
        <v>222.17</v>
      </c>
      <c r="I291" s="15" t="n">
        <v>0.3</v>
      </c>
      <c r="J291" s="14" t="n">
        <v>-39.8</v>
      </c>
    </row>
    <row r="292" customFormat="false" ht="15" hidden="false" customHeight="true" outlineLevel="0" collapsed="false">
      <c r="A292" s="12" t="s">
        <v>329</v>
      </c>
      <c r="B292" s="13" t="n">
        <v>45871</v>
      </c>
      <c r="C292" s="12" t="s">
        <v>21</v>
      </c>
      <c r="D292" s="12" t="s">
        <v>22</v>
      </c>
      <c r="E292" s="12" t="s">
        <v>45</v>
      </c>
      <c r="F292" s="12" t="s">
        <v>35</v>
      </c>
      <c r="G292" s="12" t="n">
        <v>1</v>
      </c>
      <c r="H292" s="14" t="n">
        <v>25.68</v>
      </c>
      <c r="I292" s="15" t="n">
        <v>0.4</v>
      </c>
      <c r="J292" s="14" t="n">
        <v>-3.93</v>
      </c>
    </row>
    <row r="293" customFormat="false" ht="15" hidden="false" customHeight="true" outlineLevel="0" collapsed="false">
      <c r="A293" s="12" t="s">
        <v>330</v>
      </c>
      <c r="B293" s="13" t="n">
        <v>45873</v>
      </c>
      <c r="C293" s="12" t="s">
        <v>34</v>
      </c>
      <c r="D293" s="12" t="s">
        <v>31</v>
      </c>
      <c r="E293" s="12" t="s">
        <v>37</v>
      </c>
      <c r="F293" s="12" t="s">
        <v>29</v>
      </c>
      <c r="G293" s="12" t="n">
        <v>5</v>
      </c>
      <c r="H293" s="14" t="n">
        <v>2445.15</v>
      </c>
      <c r="I293" s="15" t="n">
        <v>0.2</v>
      </c>
      <c r="J293" s="14" t="n">
        <v>271.3</v>
      </c>
    </row>
    <row r="294" customFormat="false" ht="15" hidden="false" customHeight="true" outlineLevel="0" collapsed="false">
      <c r="A294" s="12" t="s">
        <v>331</v>
      </c>
      <c r="B294" s="13" t="n">
        <v>45873</v>
      </c>
      <c r="C294" s="12" t="s">
        <v>21</v>
      </c>
      <c r="D294" s="12" t="s">
        <v>22</v>
      </c>
      <c r="E294" s="12" t="s">
        <v>23</v>
      </c>
      <c r="F294" s="12" t="s">
        <v>35</v>
      </c>
      <c r="G294" s="12" t="n">
        <v>1</v>
      </c>
      <c r="H294" s="14" t="n">
        <v>30.22</v>
      </c>
      <c r="I294" s="15" t="n">
        <v>0.3</v>
      </c>
      <c r="J294" s="14" t="n">
        <v>-1.52</v>
      </c>
    </row>
    <row r="295" customFormat="false" ht="15" hidden="false" customHeight="true" outlineLevel="0" collapsed="false">
      <c r="A295" s="12" t="s">
        <v>332</v>
      </c>
      <c r="B295" s="13" t="n">
        <v>45874</v>
      </c>
      <c r="C295" s="12" t="s">
        <v>39</v>
      </c>
      <c r="D295" s="12" t="s">
        <v>22</v>
      </c>
      <c r="E295" s="12" t="s">
        <v>48</v>
      </c>
      <c r="F295" s="12" t="s">
        <v>29</v>
      </c>
      <c r="G295" s="12" t="n">
        <v>5</v>
      </c>
      <c r="H295" s="14" t="n">
        <v>270.6</v>
      </c>
      <c r="I295" s="15" t="n">
        <v>0</v>
      </c>
      <c r="J295" s="14" t="n">
        <v>43.91</v>
      </c>
    </row>
    <row r="296" customFormat="false" ht="15" hidden="false" customHeight="true" outlineLevel="0" collapsed="false">
      <c r="A296" s="12" t="s">
        <v>333</v>
      </c>
      <c r="B296" s="13" t="n">
        <v>45874</v>
      </c>
      <c r="C296" s="12" t="s">
        <v>39</v>
      </c>
      <c r="D296" s="12" t="s">
        <v>27</v>
      </c>
      <c r="E296" s="12" t="s">
        <v>28</v>
      </c>
      <c r="F296" s="12" t="s">
        <v>29</v>
      </c>
      <c r="G296" s="12" t="n">
        <v>4</v>
      </c>
      <c r="H296" s="14" t="n">
        <v>805.88</v>
      </c>
      <c r="I296" s="15" t="n">
        <v>0.3</v>
      </c>
      <c r="J296" s="14" t="n">
        <v>-233.06</v>
      </c>
    </row>
    <row r="297" customFormat="false" ht="15" hidden="false" customHeight="true" outlineLevel="0" collapsed="false">
      <c r="A297" s="12" t="s">
        <v>334</v>
      </c>
      <c r="B297" s="13" t="n">
        <v>45875</v>
      </c>
      <c r="C297" s="12" t="s">
        <v>39</v>
      </c>
      <c r="D297" s="12" t="s">
        <v>31</v>
      </c>
      <c r="E297" s="12" t="s">
        <v>37</v>
      </c>
      <c r="F297" s="12" t="s">
        <v>35</v>
      </c>
      <c r="G297" s="12" t="n">
        <v>1</v>
      </c>
      <c r="H297" s="14" t="n">
        <v>339.24</v>
      </c>
      <c r="I297" s="15" t="n">
        <v>0.4</v>
      </c>
      <c r="J297" s="14" t="n">
        <v>-46.87</v>
      </c>
    </row>
    <row r="298" customFormat="false" ht="15" hidden="false" customHeight="true" outlineLevel="0" collapsed="false">
      <c r="A298" s="12" t="s">
        <v>335</v>
      </c>
      <c r="B298" s="13" t="n">
        <v>45875</v>
      </c>
      <c r="C298" s="12" t="s">
        <v>26</v>
      </c>
      <c r="D298" s="12" t="s">
        <v>22</v>
      </c>
      <c r="E298" s="12" t="s">
        <v>48</v>
      </c>
      <c r="F298" s="12" t="s">
        <v>29</v>
      </c>
      <c r="G298" s="12" t="n">
        <v>5</v>
      </c>
      <c r="H298" s="14" t="n">
        <v>175.47</v>
      </c>
      <c r="I298" s="15" t="n">
        <v>0.4</v>
      </c>
      <c r="J298" s="14" t="n">
        <v>-36.7</v>
      </c>
    </row>
    <row r="299" customFormat="false" ht="15" hidden="false" customHeight="true" outlineLevel="0" collapsed="false">
      <c r="A299" s="12" t="s">
        <v>336</v>
      </c>
      <c r="B299" s="13" t="n">
        <v>45876</v>
      </c>
      <c r="C299" s="12" t="s">
        <v>39</v>
      </c>
      <c r="D299" s="12" t="s">
        <v>22</v>
      </c>
      <c r="E299" s="12" t="s">
        <v>48</v>
      </c>
      <c r="F299" s="12" t="s">
        <v>24</v>
      </c>
      <c r="G299" s="12" t="n">
        <v>3</v>
      </c>
      <c r="H299" s="14" t="n">
        <v>107.28</v>
      </c>
      <c r="I299" s="15" t="n">
        <v>0.1</v>
      </c>
      <c r="J299" s="14" t="n">
        <v>15.97</v>
      </c>
    </row>
    <row r="300" customFormat="false" ht="15" hidden="false" customHeight="true" outlineLevel="0" collapsed="false">
      <c r="A300" s="12" t="s">
        <v>337</v>
      </c>
      <c r="B300" s="13" t="n">
        <v>45876</v>
      </c>
      <c r="C300" s="12" t="s">
        <v>34</v>
      </c>
      <c r="D300" s="12" t="s">
        <v>27</v>
      </c>
      <c r="E300" s="12" t="s">
        <v>51</v>
      </c>
      <c r="F300" s="12" t="s">
        <v>35</v>
      </c>
      <c r="G300" s="12" t="n">
        <v>4</v>
      </c>
      <c r="H300" s="14" t="n">
        <v>628.69</v>
      </c>
      <c r="I300" s="15" t="n">
        <v>0.2</v>
      </c>
      <c r="J300" s="14" t="n">
        <v>-130.83</v>
      </c>
    </row>
    <row r="301" customFormat="false" ht="15" hidden="false" customHeight="true" outlineLevel="0" collapsed="false">
      <c r="A301" s="12" t="s">
        <v>338</v>
      </c>
      <c r="B301" s="13" t="n">
        <v>45878</v>
      </c>
      <c r="C301" s="12" t="s">
        <v>34</v>
      </c>
      <c r="D301" s="12" t="s">
        <v>22</v>
      </c>
      <c r="E301" s="12" t="s">
        <v>45</v>
      </c>
      <c r="F301" s="12" t="s">
        <v>24</v>
      </c>
      <c r="G301" s="12" t="n">
        <v>6</v>
      </c>
      <c r="H301" s="14" t="n">
        <v>123.36</v>
      </c>
      <c r="I301" s="15" t="n">
        <v>0.4</v>
      </c>
      <c r="J301" s="14" t="n">
        <v>-12.14</v>
      </c>
    </row>
    <row r="302" customFormat="false" ht="15" hidden="false" customHeight="true" outlineLevel="0" collapsed="false">
      <c r="A302" s="12" t="s">
        <v>339</v>
      </c>
      <c r="B302" s="13" t="n">
        <v>45878</v>
      </c>
      <c r="C302" s="12" t="s">
        <v>34</v>
      </c>
      <c r="D302" s="12" t="s">
        <v>27</v>
      </c>
      <c r="E302" s="12" t="s">
        <v>51</v>
      </c>
      <c r="F302" s="12" t="s">
        <v>29</v>
      </c>
      <c r="G302" s="12" t="n">
        <v>2</v>
      </c>
      <c r="H302" s="14" t="n">
        <v>480.86</v>
      </c>
      <c r="I302" s="15" t="n">
        <v>0.2</v>
      </c>
      <c r="J302" s="14" t="n">
        <v>-45.16</v>
      </c>
    </row>
    <row r="303" customFormat="false" ht="15" hidden="false" customHeight="true" outlineLevel="0" collapsed="false">
      <c r="A303" s="12" t="s">
        <v>340</v>
      </c>
      <c r="B303" s="13" t="n">
        <v>45878</v>
      </c>
      <c r="C303" s="12" t="s">
        <v>26</v>
      </c>
      <c r="D303" s="12" t="s">
        <v>22</v>
      </c>
      <c r="E303" s="12" t="s">
        <v>23</v>
      </c>
      <c r="F303" s="12" t="s">
        <v>29</v>
      </c>
      <c r="G303" s="12" t="n">
        <v>4</v>
      </c>
      <c r="H303" s="14" t="n">
        <v>110.39</v>
      </c>
      <c r="I303" s="15" t="n">
        <v>0</v>
      </c>
      <c r="J303" s="14" t="n">
        <v>16.65</v>
      </c>
    </row>
    <row r="304" customFormat="false" ht="15" hidden="false" customHeight="true" outlineLevel="0" collapsed="false">
      <c r="A304" s="12" t="s">
        <v>341</v>
      </c>
      <c r="B304" s="13" t="n">
        <v>45879</v>
      </c>
      <c r="C304" s="12" t="s">
        <v>34</v>
      </c>
      <c r="D304" s="12" t="s">
        <v>31</v>
      </c>
      <c r="E304" s="12" t="s">
        <v>37</v>
      </c>
      <c r="F304" s="12" t="s">
        <v>24</v>
      </c>
      <c r="G304" s="12" t="n">
        <v>1</v>
      </c>
      <c r="H304" s="14" t="n">
        <v>564.52</v>
      </c>
      <c r="I304" s="15" t="n">
        <v>0</v>
      </c>
      <c r="J304" s="14" t="n">
        <v>92.82</v>
      </c>
    </row>
    <row r="305" customFormat="false" ht="15" hidden="false" customHeight="true" outlineLevel="0" collapsed="false">
      <c r="A305" s="12" t="s">
        <v>342</v>
      </c>
      <c r="B305" s="13" t="n">
        <v>45880</v>
      </c>
      <c r="C305" s="12" t="s">
        <v>21</v>
      </c>
      <c r="D305" s="12" t="s">
        <v>22</v>
      </c>
      <c r="E305" s="12" t="s">
        <v>48</v>
      </c>
      <c r="F305" s="12" t="s">
        <v>29</v>
      </c>
      <c r="G305" s="12" t="n">
        <v>1</v>
      </c>
      <c r="H305" s="14" t="n">
        <v>14.96</v>
      </c>
      <c r="I305" s="15" t="n">
        <v>0.4</v>
      </c>
      <c r="J305" s="14" t="n">
        <v>-4.19</v>
      </c>
    </row>
    <row r="306" customFormat="false" ht="15" hidden="false" customHeight="true" outlineLevel="0" collapsed="false">
      <c r="A306" s="12" t="s">
        <v>343</v>
      </c>
      <c r="B306" s="13" t="n">
        <v>45880</v>
      </c>
      <c r="C306" s="12" t="s">
        <v>39</v>
      </c>
      <c r="D306" s="12" t="s">
        <v>27</v>
      </c>
      <c r="E306" s="12" t="s">
        <v>28</v>
      </c>
      <c r="F306" s="12" t="s">
        <v>29</v>
      </c>
      <c r="G306" s="12" t="n">
        <v>2</v>
      </c>
      <c r="H306" s="14" t="n">
        <v>468.48</v>
      </c>
      <c r="I306" s="15" t="n">
        <v>0</v>
      </c>
      <c r="J306" s="14" t="n">
        <v>17.53</v>
      </c>
    </row>
    <row r="307" customFormat="false" ht="15" hidden="false" customHeight="true" outlineLevel="0" collapsed="false">
      <c r="A307" s="12" t="s">
        <v>344</v>
      </c>
      <c r="B307" s="13" t="n">
        <v>45880</v>
      </c>
      <c r="C307" s="12" t="s">
        <v>26</v>
      </c>
      <c r="D307" s="12" t="s">
        <v>22</v>
      </c>
      <c r="E307" s="12" t="s">
        <v>45</v>
      </c>
      <c r="F307" s="12" t="s">
        <v>35</v>
      </c>
      <c r="G307" s="12" t="n">
        <v>6</v>
      </c>
      <c r="H307" s="14" t="n">
        <v>136.7</v>
      </c>
      <c r="I307" s="15" t="n">
        <v>0.2</v>
      </c>
      <c r="J307" s="14" t="n">
        <v>-11.41</v>
      </c>
    </row>
    <row r="308" customFormat="false" ht="15" hidden="false" customHeight="true" outlineLevel="0" collapsed="false">
      <c r="A308" s="12" t="s">
        <v>345</v>
      </c>
      <c r="B308" s="13" t="n">
        <v>45881</v>
      </c>
      <c r="C308" s="12" t="s">
        <v>34</v>
      </c>
      <c r="D308" s="12" t="s">
        <v>31</v>
      </c>
      <c r="E308" s="12" t="s">
        <v>37</v>
      </c>
      <c r="F308" s="12" t="s">
        <v>35</v>
      </c>
      <c r="G308" s="12" t="n">
        <v>1</v>
      </c>
      <c r="H308" s="14" t="n">
        <v>550.22</v>
      </c>
      <c r="I308" s="15" t="n">
        <v>0.1</v>
      </c>
      <c r="J308" s="14" t="n">
        <v>79.22</v>
      </c>
    </row>
    <row r="309" customFormat="false" ht="15" hidden="false" customHeight="true" outlineLevel="0" collapsed="false">
      <c r="A309" s="12" t="s">
        <v>346</v>
      </c>
      <c r="B309" s="13" t="n">
        <v>45881</v>
      </c>
      <c r="C309" s="12" t="s">
        <v>26</v>
      </c>
      <c r="D309" s="12" t="s">
        <v>22</v>
      </c>
      <c r="E309" s="12" t="s">
        <v>48</v>
      </c>
      <c r="F309" s="12" t="s">
        <v>29</v>
      </c>
      <c r="G309" s="12" t="n">
        <v>1</v>
      </c>
      <c r="H309" s="14" t="n">
        <v>46.11</v>
      </c>
      <c r="I309" s="15" t="n">
        <v>0</v>
      </c>
      <c r="J309" s="14" t="n">
        <v>2.46</v>
      </c>
    </row>
    <row r="310" customFormat="false" ht="15" hidden="false" customHeight="true" outlineLevel="0" collapsed="false">
      <c r="A310" s="12" t="s">
        <v>347</v>
      </c>
      <c r="B310" s="13" t="n">
        <v>45883</v>
      </c>
      <c r="C310" s="12" t="s">
        <v>21</v>
      </c>
      <c r="D310" s="12" t="s">
        <v>22</v>
      </c>
      <c r="E310" s="12" t="s">
        <v>45</v>
      </c>
      <c r="F310" s="12" t="s">
        <v>35</v>
      </c>
      <c r="G310" s="12" t="n">
        <v>3</v>
      </c>
      <c r="H310" s="14" t="n">
        <v>125.23</v>
      </c>
      <c r="I310" s="15" t="n">
        <v>0</v>
      </c>
      <c r="J310" s="14" t="n">
        <v>18.91</v>
      </c>
    </row>
    <row r="311" customFormat="false" ht="15" hidden="false" customHeight="true" outlineLevel="0" collapsed="false">
      <c r="A311" s="12" t="s">
        <v>348</v>
      </c>
      <c r="B311" s="13" t="n">
        <v>45884</v>
      </c>
      <c r="C311" s="12" t="s">
        <v>39</v>
      </c>
      <c r="D311" s="12" t="s">
        <v>22</v>
      </c>
      <c r="E311" s="12" t="s">
        <v>23</v>
      </c>
      <c r="F311" s="12" t="s">
        <v>35</v>
      </c>
      <c r="G311" s="12" t="n">
        <v>4</v>
      </c>
      <c r="H311" s="14" t="n">
        <v>158.14</v>
      </c>
      <c r="I311" s="15" t="n">
        <v>0.3</v>
      </c>
      <c r="J311" s="14" t="n">
        <v>-15.45</v>
      </c>
    </row>
    <row r="312" customFormat="false" ht="15" hidden="false" customHeight="true" outlineLevel="0" collapsed="false">
      <c r="A312" s="12" t="s">
        <v>349</v>
      </c>
      <c r="B312" s="13" t="n">
        <v>45884</v>
      </c>
      <c r="C312" s="12" t="s">
        <v>21</v>
      </c>
      <c r="D312" s="12" t="s">
        <v>31</v>
      </c>
      <c r="E312" s="12" t="s">
        <v>37</v>
      </c>
      <c r="F312" s="12" t="s">
        <v>24</v>
      </c>
      <c r="G312" s="12" t="n">
        <v>2</v>
      </c>
      <c r="H312" s="14" t="n">
        <v>658.73</v>
      </c>
      <c r="I312" s="15" t="n">
        <v>0.2</v>
      </c>
      <c r="J312" s="14" t="n">
        <v>-33.25</v>
      </c>
    </row>
    <row r="313" customFormat="false" ht="15" hidden="false" customHeight="true" outlineLevel="0" collapsed="false">
      <c r="A313" s="12" t="s">
        <v>350</v>
      </c>
      <c r="B313" s="13" t="n">
        <v>45886</v>
      </c>
      <c r="C313" s="12" t="s">
        <v>39</v>
      </c>
      <c r="D313" s="12" t="s">
        <v>22</v>
      </c>
      <c r="E313" s="12" t="s">
        <v>48</v>
      </c>
      <c r="F313" s="12" t="s">
        <v>29</v>
      </c>
      <c r="G313" s="12" t="n">
        <v>5</v>
      </c>
      <c r="H313" s="14" t="n">
        <v>251.82</v>
      </c>
      <c r="I313" s="15" t="n">
        <v>0.1</v>
      </c>
      <c r="J313" s="14" t="n">
        <v>19.22</v>
      </c>
    </row>
    <row r="314" customFormat="false" ht="15" hidden="false" customHeight="true" outlineLevel="0" collapsed="false">
      <c r="A314" s="12" t="s">
        <v>351</v>
      </c>
      <c r="B314" s="13" t="n">
        <v>45886</v>
      </c>
      <c r="C314" s="12" t="s">
        <v>34</v>
      </c>
      <c r="D314" s="12" t="s">
        <v>22</v>
      </c>
      <c r="E314" s="12" t="s">
        <v>45</v>
      </c>
      <c r="F314" s="12" t="s">
        <v>29</v>
      </c>
      <c r="G314" s="12" t="n">
        <v>4</v>
      </c>
      <c r="H314" s="14" t="n">
        <v>214.5</v>
      </c>
      <c r="I314" s="15" t="n">
        <v>0</v>
      </c>
      <c r="J314" s="14" t="n">
        <v>53.28</v>
      </c>
    </row>
    <row r="315" customFormat="false" ht="15" hidden="false" customHeight="true" outlineLevel="0" collapsed="false">
      <c r="A315" s="12" t="s">
        <v>352</v>
      </c>
      <c r="B315" s="13" t="n">
        <v>45886</v>
      </c>
      <c r="C315" s="12" t="s">
        <v>34</v>
      </c>
      <c r="D315" s="12" t="s">
        <v>31</v>
      </c>
      <c r="E315" s="12" t="s">
        <v>32</v>
      </c>
      <c r="F315" s="12" t="s">
        <v>35</v>
      </c>
      <c r="G315" s="12" t="n">
        <v>2</v>
      </c>
      <c r="H315" s="14" t="n">
        <v>1170.5</v>
      </c>
      <c r="I315" s="15" t="n">
        <v>0</v>
      </c>
      <c r="J315" s="14" t="n">
        <v>375.15</v>
      </c>
    </row>
    <row r="316" customFormat="false" ht="15" hidden="false" customHeight="true" outlineLevel="0" collapsed="false">
      <c r="A316" s="12" t="s">
        <v>353</v>
      </c>
      <c r="B316" s="13" t="n">
        <v>45887</v>
      </c>
      <c r="C316" s="12" t="s">
        <v>21</v>
      </c>
      <c r="D316" s="12" t="s">
        <v>31</v>
      </c>
      <c r="E316" s="12" t="s">
        <v>32</v>
      </c>
      <c r="F316" s="12" t="s">
        <v>35</v>
      </c>
      <c r="G316" s="12" t="n">
        <v>5</v>
      </c>
      <c r="H316" s="14" t="n">
        <v>2054.11</v>
      </c>
      <c r="I316" s="15" t="n">
        <v>0</v>
      </c>
      <c r="J316" s="14" t="n">
        <v>286.73</v>
      </c>
    </row>
    <row r="317" customFormat="false" ht="15" hidden="false" customHeight="true" outlineLevel="0" collapsed="false">
      <c r="A317" s="12" t="s">
        <v>354</v>
      </c>
      <c r="B317" s="13" t="n">
        <v>45888</v>
      </c>
      <c r="C317" s="12" t="s">
        <v>21</v>
      </c>
      <c r="D317" s="12" t="s">
        <v>22</v>
      </c>
      <c r="E317" s="12" t="s">
        <v>23</v>
      </c>
      <c r="F317" s="12" t="s">
        <v>29</v>
      </c>
      <c r="G317" s="12" t="n">
        <v>3</v>
      </c>
      <c r="H317" s="14" t="n">
        <v>75.1</v>
      </c>
      <c r="I317" s="15" t="n">
        <v>0.1</v>
      </c>
      <c r="J317" s="14" t="n">
        <v>3.97</v>
      </c>
    </row>
    <row r="318" customFormat="false" ht="15" hidden="false" customHeight="true" outlineLevel="0" collapsed="false">
      <c r="A318" s="12" t="s">
        <v>355</v>
      </c>
      <c r="B318" s="13" t="n">
        <v>45888</v>
      </c>
      <c r="C318" s="12" t="s">
        <v>34</v>
      </c>
      <c r="D318" s="12" t="s">
        <v>31</v>
      </c>
      <c r="E318" s="12" t="s">
        <v>41</v>
      </c>
      <c r="F318" s="12" t="s">
        <v>29</v>
      </c>
      <c r="G318" s="12" t="n">
        <v>3</v>
      </c>
      <c r="H318" s="14" t="n">
        <v>1182.14</v>
      </c>
      <c r="I318" s="15" t="n">
        <v>0.1</v>
      </c>
      <c r="J318" s="14" t="n">
        <v>177.53</v>
      </c>
    </row>
    <row r="319" customFormat="false" ht="15" hidden="false" customHeight="true" outlineLevel="0" collapsed="false">
      <c r="A319" s="12" t="s">
        <v>356</v>
      </c>
      <c r="B319" s="13" t="n">
        <v>45890</v>
      </c>
      <c r="C319" s="12" t="s">
        <v>34</v>
      </c>
      <c r="D319" s="12" t="s">
        <v>27</v>
      </c>
      <c r="E319" s="12" t="s">
        <v>28</v>
      </c>
      <c r="F319" s="12" t="s">
        <v>29</v>
      </c>
      <c r="G319" s="12" t="n">
        <v>3</v>
      </c>
      <c r="H319" s="14" t="n">
        <v>625.59</v>
      </c>
      <c r="I319" s="15" t="n">
        <v>0.2</v>
      </c>
      <c r="J319" s="14" t="n">
        <v>-118.62</v>
      </c>
    </row>
    <row r="320" customFormat="false" ht="15" hidden="false" customHeight="true" outlineLevel="0" collapsed="false">
      <c r="A320" s="12" t="s">
        <v>357</v>
      </c>
      <c r="B320" s="13" t="n">
        <v>45891</v>
      </c>
      <c r="C320" s="12" t="s">
        <v>34</v>
      </c>
      <c r="D320" s="12" t="s">
        <v>22</v>
      </c>
      <c r="E320" s="12" t="s">
        <v>45</v>
      </c>
      <c r="F320" s="12" t="s">
        <v>29</v>
      </c>
      <c r="G320" s="12" t="n">
        <v>5</v>
      </c>
      <c r="H320" s="14" t="n">
        <v>213.77</v>
      </c>
      <c r="I320" s="15" t="n">
        <v>0.2</v>
      </c>
      <c r="J320" s="14" t="n">
        <v>-3.04</v>
      </c>
    </row>
    <row r="321" customFormat="false" ht="15" hidden="false" customHeight="true" outlineLevel="0" collapsed="false">
      <c r="A321" s="12" t="s">
        <v>358</v>
      </c>
      <c r="B321" s="13" t="n">
        <v>45891</v>
      </c>
      <c r="C321" s="12" t="s">
        <v>21</v>
      </c>
      <c r="D321" s="12" t="s">
        <v>31</v>
      </c>
      <c r="E321" s="12" t="s">
        <v>41</v>
      </c>
      <c r="F321" s="12" t="s">
        <v>29</v>
      </c>
      <c r="G321" s="12" t="n">
        <v>1</v>
      </c>
      <c r="H321" s="14" t="n">
        <v>287.88</v>
      </c>
      <c r="I321" s="15" t="n">
        <v>0.2</v>
      </c>
      <c r="J321" s="14" t="n">
        <v>30.99</v>
      </c>
    </row>
    <row r="322" customFormat="false" ht="15" hidden="false" customHeight="true" outlineLevel="0" collapsed="false">
      <c r="A322" s="12" t="s">
        <v>359</v>
      </c>
      <c r="B322" s="13" t="n">
        <v>45892</v>
      </c>
      <c r="C322" s="12" t="s">
        <v>39</v>
      </c>
      <c r="D322" s="12" t="s">
        <v>27</v>
      </c>
      <c r="E322" s="12" t="s">
        <v>28</v>
      </c>
      <c r="F322" s="12" t="s">
        <v>24</v>
      </c>
      <c r="G322" s="12" t="n">
        <v>5</v>
      </c>
      <c r="H322" s="14" t="n">
        <v>1889.92</v>
      </c>
      <c r="I322" s="15" t="n">
        <v>0</v>
      </c>
      <c r="J322" s="14" t="n">
        <v>-37.3</v>
      </c>
    </row>
    <row r="323" customFormat="false" ht="15" hidden="false" customHeight="true" outlineLevel="0" collapsed="false">
      <c r="A323" s="12" t="s">
        <v>360</v>
      </c>
      <c r="B323" s="13" t="n">
        <v>45893</v>
      </c>
      <c r="C323" s="12" t="s">
        <v>21</v>
      </c>
      <c r="D323" s="12" t="s">
        <v>31</v>
      </c>
      <c r="E323" s="12" t="s">
        <v>37</v>
      </c>
      <c r="F323" s="12" t="s">
        <v>29</v>
      </c>
      <c r="G323" s="12" t="n">
        <v>6</v>
      </c>
      <c r="H323" s="14" t="n">
        <v>1109.44</v>
      </c>
      <c r="I323" s="15" t="n">
        <v>0.3</v>
      </c>
      <c r="J323" s="14" t="n">
        <v>-67.34</v>
      </c>
    </row>
    <row r="324" customFormat="false" ht="15" hidden="false" customHeight="true" outlineLevel="0" collapsed="false">
      <c r="A324" s="12" t="s">
        <v>361</v>
      </c>
      <c r="B324" s="13" t="n">
        <v>45894</v>
      </c>
      <c r="C324" s="12" t="s">
        <v>34</v>
      </c>
      <c r="D324" s="12" t="s">
        <v>31</v>
      </c>
      <c r="E324" s="12" t="s">
        <v>41</v>
      </c>
      <c r="F324" s="12" t="s">
        <v>29</v>
      </c>
      <c r="G324" s="12" t="n">
        <v>5</v>
      </c>
      <c r="H324" s="14" t="n">
        <v>2515.72</v>
      </c>
      <c r="I324" s="15" t="n">
        <v>0.1</v>
      </c>
      <c r="J324" s="14" t="n">
        <v>584.53</v>
      </c>
    </row>
    <row r="325" customFormat="false" ht="15" hidden="false" customHeight="true" outlineLevel="0" collapsed="false">
      <c r="A325" s="12" t="s">
        <v>362</v>
      </c>
      <c r="B325" s="13" t="n">
        <v>45898</v>
      </c>
      <c r="C325" s="12" t="s">
        <v>39</v>
      </c>
      <c r="D325" s="12" t="s">
        <v>31</v>
      </c>
      <c r="E325" s="12" t="s">
        <v>41</v>
      </c>
      <c r="F325" s="12" t="s">
        <v>29</v>
      </c>
      <c r="G325" s="12" t="n">
        <v>4</v>
      </c>
      <c r="H325" s="14" t="n">
        <v>1982.12</v>
      </c>
      <c r="I325" s="15" t="n">
        <v>0.2</v>
      </c>
      <c r="J325" s="14" t="n">
        <v>-25.51</v>
      </c>
    </row>
    <row r="326" customFormat="false" ht="15" hidden="false" customHeight="true" outlineLevel="0" collapsed="false">
      <c r="A326" s="12" t="s">
        <v>363</v>
      </c>
      <c r="B326" s="13" t="n">
        <v>45900</v>
      </c>
      <c r="C326" s="12" t="s">
        <v>21</v>
      </c>
      <c r="D326" s="12" t="s">
        <v>27</v>
      </c>
      <c r="E326" s="12" t="s">
        <v>28</v>
      </c>
      <c r="F326" s="12" t="s">
        <v>29</v>
      </c>
      <c r="G326" s="12" t="n">
        <v>1</v>
      </c>
      <c r="H326" s="14" t="n">
        <v>246.37</v>
      </c>
      <c r="I326" s="15" t="n">
        <v>0.1</v>
      </c>
      <c r="J326" s="14" t="n">
        <v>-23.8</v>
      </c>
    </row>
    <row r="327" customFormat="false" ht="15" hidden="false" customHeight="true" outlineLevel="0" collapsed="false">
      <c r="A327" s="12" t="s">
        <v>364</v>
      </c>
      <c r="B327" s="13" t="n">
        <v>45900</v>
      </c>
      <c r="C327" s="12" t="s">
        <v>34</v>
      </c>
      <c r="D327" s="12" t="s">
        <v>22</v>
      </c>
      <c r="E327" s="12" t="s">
        <v>23</v>
      </c>
      <c r="F327" s="12" t="s">
        <v>35</v>
      </c>
      <c r="G327" s="12" t="n">
        <v>2</v>
      </c>
      <c r="H327" s="14" t="n">
        <v>77.54</v>
      </c>
      <c r="I327" s="15" t="n">
        <v>0</v>
      </c>
      <c r="J327" s="14" t="n">
        <v>14.16</v>
      </c>
    </row>
    <row r="328" customFormat="false" ht="15" hidden="false" customHeight="true" outlineLevel="0" collapsed="false">
      <c r="A328" s="12" t="s">
        <v>365</v>
      </c>
      <c r="B328" s="13" t="n">
        <v>45900</v>
      </c>
      <c r="C328" s="12" t="s">
        <v>39</v>
      </c>
      <c r="D328" s="12" t="s">
        <v>22</v>
      </c>
      <c r="E328" s="12" t="s">
        <v>23</v>
      </c>
      <c r="F328" s="12" t="s">
        <v>29</v>
      </c>
      <c r="G328" s="12" t="n">
        <v>6</v>
      </c>
      <c r="H328" s="14" t="n">
        <v>202.12</v>
      </c>
      <c r="I328" s="15" t="n">
        <v>0.4</v>
      </c>
      <c r="J328" s="14" t="n">
        <v>-45.03</v>
      </c>
    </row>
    <row r="329" customFormat="false" ht="15" hidden="false" customHeight="true" outlineLevel="0" collapsed="false">
      <c r="A329" s="12" t="s">
        <v>366</v>
      </c>
      <c r="B329" s="13" t="n">
        <v>45900</v>
      </c>
      <c r="C329" s="12" t="s">
        <v>34</v>
      </c>
      <c r="D329" s="12" t="s">
        <v>22</v>
      </c>
      <c r="E329" s="12" t="s">
        <v>45</v>
      </c>
      <c r="F329" s="12" t="s">
        <v>29</v>
      </c>
      <c r="G329" s="12" t="n">
        <v>5</v>
      </c>
      <c r="H329" s="14" t="n">
        <v>137.41</v>
      </c>
      <c r="I329" s="15" t="n">
        <v>0.1</v>
      </c>
      <c r="J329" s="14" t="n">
        <v>17.63</v>
      </c>
    </row>
    <row r="330" customFormat="false" ht="15" hidden="false" customHeight="true" outlineLevel="0" collapsed="false">
      <c r="A330" s="12" t="s">
        <v>367</v>
      </c>
      <c r="B330" s="13" t="n">
        <v>45900</v>
      </c>
      <c r="C330" s="12" t="s">
        <v>39</v>
      </c>
      <c r="D330" s="12" t="s">
        <v>22</v>
      </c>
      <c r="E330" s="12" t="s">
        <v>45</v>
      </c>
      <c r="F330" s="12" t="s">
        <v>35</v>
      </c>
      <c r="G330" s="12" t="n">
        <v>5</v>
      </c>
      <c r="H330" s="14" t="n">
        <v>151.5</v>
      </c>
      <c r="I330" s="15" t="n">
        <v>0</v>
      </c>
      <c r="J330" s="14" t="n">
        <v>33.3</v>
      </c>
    </row>
    <row r="331" customFormat="false" ht="15" hidden="false" customHeight="true" outlineLevel="0" collapsed="false">
      <c r="A331" s="12" t="s">
        <v>368</v>
      </c>
      <c r="B331" s="13" t="n">
        <v>45900</v>
      </c>
      <c r="C331" s="12" t="s">
        <v>39</v>
      </c>
      <c r="D331" s="12" t="s">
        <v>31</v>
      </c>
      <c r="E331" s="12" t="s">
        <v>41</v>
      </c>
      <c r="F331" s="12" t="s">
        <v>29</v>
      </c>
      <c r="G331" s="12" t="n">
        <v>6</v>
      </c>
      <c r="H331" s="14" t="n">
        <v>1428.03</v>
      </c>
      <c r="I331" s="15" t="n">
        <v>0.1</v>
      </c>
      <c r="J331" s="14" t="n">
        <v>277.53</v>
      </c>
    </row>
    <row r="332" customFormat="false" ht="15" hidden="false" customHeight="true" outlineLevel="0" collapsed="false">
      <c r="A332" s="12" t="s">
        <v>369</v>
      </c>
      <c r="B332" s="13" t="n">
        <v>45901</v>
      </c>
      <c r="C332" s="12" t="s">
        <v>39</v>
      </c>
      <c r="D332" s="12" t="s">
        <v>22</v>
      </c>
      <c r="E332" s="12" t="s">
        <v>48</v>
      </c>
      <c r="F332" s="12" t="s">
        <v>35</v>
      </c>
      <c r="G332" s="12" t="n">
        <v>6</v>
      </c>
      <c r="H332" s="14" t="n">
        <v>189.76</v>
      </c>
      <c r="I332" s="15" t="n">
        <v>0.4</v>
      </c>
      <c r="J332" s="14" t="n">
        <v>-27</v>
      </c>
    </row>
    <row r="333" customFormat="false" ht="15" hidden="false" customHeight="true" outlineLevel="0" collapsed="false">
      <c r="A333" s="12" t="s">
        <v>370</v>
      </c>
      <c r="B333" s="13" t="n">
        <v>45901</v>
      </c>
      <c r="C333" s="12" t="s">
        <v>34</v>
      </c>
      <c r="D333" s="12" t="s">
        <v>22</v>
      </c>
      <c r="E333" s="12" t="s">
        <v>23</v>
      </c>
      <c r="F333" s="12" t="s">
        <v>24</v>
      </c>
      <c r="G333" s="12" t="n">
        <v>6</v>
      </c>
      <c r="H333" s="14" t="n">
        <v>99.43</v>
      </c>
      <c r="I333" s="15" t="n">
        <v>0.4</v>
      </c>
      <c r="J333" s="14" t="n">
        <v>-21.44</v>
      </c>
    </row>
    <row r="334" customFormat="false" ht="15" hidden="false" customHeight="true" outlineLevel="0" collapsed="false">
      <c r="A334" s="12" t="s">
        <v>371</v>
      </c>
      <c r="B334" s="13" t="n">
        <v>45902</v>
      </c>
      <c r="C334" s="12" t="s">
        <v>34</v>
      </c>
      <c r="D334" s="12" t="s">
        <v>27</v>
      </c>
      <c r="E334" s="12" t="s">
        <v>43</v>
      </c>
      <c r="F334" s="12" t="s">
        <v>24</v>
      </c>
      <c r="G334" s="12" t="n">
        <v>7</v>
      </c>
      <c r="H334" s="14" t="n">
        <v>1728.83</v>
      </c>
      <c r="I334" s="15" t="n">
        <v>0.3</v>
      </c>
      <c r="J334" s="14" t="n">
        <v>-423.37</v>
      </c>
    </row>
    <row r="335" customFormat="false" ht="15" hidden="false" customHeight="true" outlineLevel="0" collapsed="false">
      <c r="A335" s="12" t="s">
        <v>372</v>
      </c>
      <c r="B335" s="13" t="n">
        <v>45904</v>
      </c>
      <c r="C335" s="12" t="s">
        <v>21</v>
      </c>
      <c r="D335" s="12" t="s">
        <v>31</v>
      </c>
      <c r="E335" s="12" t="s">
        <v>41</v>
      </c>
      <c r="F335" s="12" t="s">
        <v>29</v>
      </c>
      <c r="G335" s="12" t="n">
        <v>2</v>
      </c>
      <c r="H335" s="14" t="n">
        <v>540.52</v>
      </c>
      <c r="I335" s="15" t="n">
        <v>0.3</v>
      </c>
      <c r="J335" s="14" t="n">
        <v>-30.85</v>
      </c>
    </row>
    <row r="336" customFormat="false" ht="15" hidden="false" customHeight="true" outlineLevel="0" collapsed="false">
      <c r="A336" s="12" t="s">
        <v>373</v>
      </c>
      <c r="B336" s="13" t="n">
        <v>45904</v>
      </c>
      <c r="C336" s="12" t="s">
        <v>39</v>
      </c>
      <c r="D336" s="12" t="s">
        <v>22</v>
      </c>
      <c r="E336" s="12" t="s">
        <v>45</v>
      </c>
      <c r="F336" s="12" t="s">
        <v>29</v>
      </c>
      <c r="G336" s="12" t="n">
        <v>2</v>
      </c>
      <c r="H336" s="14" t="n">
        <v>55.44</v>
      </c>
      <c r="I336" s="15" t="n">
        <v>0</v>
      </c>
      <c r="J336" s="14" t="n">
        <v>13</v>
      </c>
    </row>
    <row r="337" customFormat="false" ht="15" hidden="false" customHeight="true" outlineLevel="0" collapsed="false">
      <c r="A337" s="12" t="s">
        <v>374</v>
      </c>
      <c r="B337" s="13" t="n">
        <v>45904</v>
      </c>
      <c r="C337" s="12" t="s">
        <v>26</v>
      </c>
      <c r="D337" s="12" t="s">
        <v>27</v>
      </c>
      <c r="E337" s="12" t="s">
        <v>43</v>
      </c>
      <c r="F337" s="12" t="s">
        <v>24</v>
      </c>
      <c r="G337" s="12" t="n">
        <v>5</v>
      </c>
      <c r="H337" s="14" t="n">
        <v>1686.51</v>
      </c>
      <c r="I337" s="15" t="n">
        <v>0.1</v>
      </c>
      <c r="J337" s="14" t="n">
        <v>-250.41</v>
      </c>
    </row>
    <row r="338" customFormat="false" ht="15" hidden="false" customHeight="true" outlineLevel="0" collapsed="false">
      <c r="A338" s="12" t="s">
        <v>375</v>
      </c>
      <c r="B338" s="13" t="n">
        <v>45905</v>
      </c>
      <c r="C338" s="12" t="s">
        <v>26</v>
      </c>
      <c r="D338" s="12" t="s">
        <v>31</v>
      </c>
      <c r="E338" s="12" t="s">
        <v>41</v>
      </c>
      <c r="F338" s="12" t="s">
        <v>35</v>
      </c>
      <c r="G338" s="12" t="n">
        <v>1</v>
      </c>
      <c r="H338" s="14" t="n">
        <v>572.01</v>
      </c>
      <c r="I338" s="15" t="n">
        <v>0</v>
      </c>
      <c r="J338" s="14" t="n">
        <v>107.95</v>
      </c>
    </row>
    <row r="339" customFormat="false" ht="15" hidden="false" customHeight="true" outlineLevel="0" collapsed="false">
      <c r="A339" s="12" t="s">
        <v>376</v>
      </c>
      <c r="B339" s="13" t="n">
        <v>45906</v>
      </c>
      <c r="C339" s="12" t="s">
        <v>26</v>
      </c>
      <c r="D339" s="12" t="s">
        <v>22</v>
      </c>
      <c r="E339" s="12" t="s">
        <v>48</v>
      </c>
      <c r="F339" s="12" t="s">
        <v>24</v>
      </c>
      <c r="G339" s="12" t="n">
        <v>3</v>
      </c>
      <c r="H339" s="14" t="n">
        <v>75.11</v>
      </c>
      <c r="I339" s="15" t="n">
        <v>0.4</v>
      </c>
      <c r="J339" s="14" t="n">
        <v>-19.73</v>
      </c>
    </row>
    <row r="340" customFormat="false" ht="15" hidden="false" customHeight="true" outlineLevel="0" collapsed="false">
      <c r="A340" s="12" t="s">
        <v>377</v>
      </c>
      <c r="B340" s="13" t="n">
        <v>45906</v>
      </c>
      <c r="C340" s="12" t="s">
        <v>39</v>
      </c>
      <c r="D340" s="12" t="s">
        <v>22</v>
      </c>
      <c r="E340" s="12" t="s">
        <v>48</v>
      </c>
      <c r="F340" s="12" t="s">
        <v>29</v>
      </c>
      <c r="G340" s="12" t="n">
        <v>1</v>
      </c>
      <c r="H340" s="14" t="n">
        <v>35.22</v>
      </c>
      <c r="I340" s="15" t="n">
        <v>0.3</v>
      </c>
      <c r="J340" s="14" t="n">
        <v>-4.35</v>
      </c>
    </row>
    <row r="341" customFormat="false" ht="15" hidden="false" customHeight="true" outlineLevel="0" collapsed="false">
      <c r="A341" s="12" t="s">
        <v>378</v>
      </c>
      <c r="B341" s="13" t="n">
        <v>45906</v>
      </c>
      <c r="C341" s="12" t="s">
        <v>21</v>
      </c>
      <c r="D341" s="12" t="s">
        <v>27</v>
      </c>
      <c r="E341" s="12" t="s">
        <v>51</v>
      </c>
      <c r="F341" s="12" t="s">
        <v>24</v>
      </c>
      <c r="G341" s="12" t="n">
        <v>3</v>
      </c>
      <c r="H341" s="14" t="n">
        <v>487.86</v>
      </c>
      <c r="I341" s="15" t="n">
        <v>0</v>
      </c>
      <c r="J341" s="14" t="n">
        <v>-49.25</v>
      </c>
    </row>
    <row r="342" customFormat="false" ht="15" hidden="false" customHeight="true" outlineLevel="0" collapsed="false">
      <c r="A342" s="12" t="s">
        <v>379</v>
      </c>
      <c r="B342" s="13" t="n">
        <v>45906</v>
      </c>
      <c r="C342" s="12" t="s">
        <v>34</v>
      </c>
      <c r="D342" s="12" t="s">
        <v>22</v>
      </c>
      <c r="E342" s="12" t="s">
        <v>23</v>
      </c>
      <c r="F342" s="12" t="s">
        <v>35</v>
      </c>
      <c r="G342" s="12" t="n">
        <v>5</v>
      </c>
      <c r="H342" s="14" t="n">
        <v>137.44</v>
      </c>
      <c r="I342" s="15" t="n">
        <v>0.2</v>
      </c>
      <c r="J342" s="14" t="n">
        <v>8.74</v>
      </c>
    </row>
    <row r="343" customFormat="false" ht="15" hidden="false" customHeight="true" outlineLevel="0" collapsed="false">
      <c r="A343" s="12" t="s">
        <v>380</v>
      </c>
      <c r="B343" s="13" t="n">
        <v>45906</v>
      </c>
      <c r="C343" s="12" t="s">
        <v>21</v>
      </c>
      <c r="D343" s="12" t="s">
        <v>31</v>
      </c>
      <c r="E343" s="12" t="s">
        <v>41</v>
      </c>
      <c r="F343" s="12" t="s">
        <v>24</v>
      </c>
      <c r="G343" s="12" t="n">
        <v>1</v>
      </c>
      <c r="H343" s="14" t="n">
        <v>301.64</v>
      </c>
      <c r="I343" s="15" t="n">
        <v>0.1</v>
      </c>
      <c r="J343" s="14" t="n">
        <v>28.75</v>
      </c>
    </row>
    <row r="344" customFormat="false" ht="15" hidden="false" customHeight="true" outlineLevel="0" collapsed="false">
      <c r="A344" s="12" t="s">
        <v>381</v>
      </c>
      <c r="B344" s="13" t="n">
        <v>45908</v>
      </c>
      <c r="C344" s="12" t="s">
        <v>34</v>
      </c>
      <c r="D344" s="12" t="s">
        <v>22</v>
      </c>
      <c r="E344" s="12" t="s">
        <v>45</v>
      </c>
      <c r="F344" s="12" t="s">
        <v>29</v>
      </c>
      <c r="G344" s="12" t="n">
        <v>2</v>
      </c>
      <c r="H344" s="14" t="n">
        <v>75.25</v>
      </c>
      <c r="I344" s="15" t="n">
        <v>0.3</v>
      </c>
      <c r="J344" s="14" t="n">
        <v>-6.19</v>
      </c>
    </row>
    <row r="345" customFormat="false" ht="15" hidden="false" customHeight="true" outlineLevel="0" collapsed="false">
      <c r="A345" s="12" t="s">
        <v>382</v>
      </c>
      <c r="B345" s="13" t="n">
        <v>45908</v>
      </c>
      <c r="C345" s="12" t="s">
        <v>39</v>
      </c>
      <c r="D345" s="12" t="s">
        <v>22</v>
      </c>
      <c r="E345" s="12" t="s">
        <v>23</v>
      </c>
      <c r="F345" s="12" t="s">
        <v>29</v>
      </c>
      <c r="G345" s="12" t="n">
        <v>5</v>
      </c>
      <c r="H345" s="14" t="n">
        <v>261.65</v>
      </c>
      <c r="I345" s="15" t="n">
        <v>0</v>
      </c>
      <c r="J345" s="14" t="n">
        <v>50.57</v>
      </c>
    </row>
    <row r="346" customFormat="false" ht="15" hidden="false" customHeight="true" outlineLevel="0" collapsed="false">
      <c r="A346" s="12" t="s">
        <v>383</v>
      </c>
      <c r="B346" s="13" t="n">
        <v>45909</v>
      </c>
      <c r="C346" s="12" t="s">
        <v>39</v>
      </c>
      <c r="D346" s="12" t="s">
        <v>22</v>
      </c>
      <c r="E346" s="12" t="s">
        <v>23</v>
      </c>
      <c r="F346" s="12" t="s">
        <v>24</v>
      </c>
      <c r="G346" s="12" t="n">
        <v>2</v>
      </c>
      <c r="H346" s="14" t="n">
        <v>51.8</v>
      </c>
      <c r="I346" s="15" t="n">
        <v>0.2</v>
      </c>
      <c r="J346" s="14" t="n">
        <v>-0.27</v>
      </c>
    </row>
    <row r="347" customFormat="false" ht="15" hidden="false" customHeight="true" outlineLevel="0" collapsed="false">
      <c r="A347" s="12" t="s">
        <v>384</v>
      </c>
      <c r="B347" s="13" t="n">
        <v>45909</v>
      </c>
      <c r="C347" s="12" t="s">
        <v>34</v>
      </c>
      <c r="D347" s="12" t="s">
        <v>22</v>
      </c>
      <c r="E347" s="12" t="s">
        <v>45</v>
      </c>
      <c r="F347" s="12" t="s">
        <v>29</v>
      </c>
      <c r="G347" s="12" t="n">
        <v>3</v>
      </c>
      <c r="H347" s="14" t="n">
        <v>74.66</v>
      </c>
      <c r="I347" s="15" t="n">
        <v>0.3</v>
      </c>
      <c r="J347" s="14" t="n">
        <v>-5.63</v>
      </c>
    </row>
    <row r="348" customFormat="false" ht="15" hidden="false" customHeight="true" outlineLevel="0" collapsed="false">
      <c r="A348" s="12" t="s">
        <v>385</v>
      </c>
      <c r="B348" s="13" t="n">
        <v>45910</v>
      </c>
      <c r="C348" s="12" t="s">
        <v>34</v>
      </c>
      <c r="D348" s="12" t="s">
        <v>31</v>
      </c>
      <c r="E348" s="12" t="s">
        <v>37</v>
      </c>
      <c r="F348" s="12" t="s">
        <v>24</v>
      </c>
      <c r="G348" s="12" t="n">
        <v>5</v>
      </c>
      <c r="H348" s="14" t="n">
        <v>1275.26</v>
      </c>
      <c r="I348" s="15" t="n">
        <v>0.4</v>
      </c>
      <c r="J348" s="14" t="n">
        <v>-156.7</v>
      </c>
    </row>
    <row r="349" customFormat="false" ht="15" hidden="false" customHeight="true" outlineLevel="0" collapsed="false">
      <c r="A349" s="12" t="s">
        <v>386</v>
      </c>
      <c r="B349" s="13" t="n">
        <v>45911</v>
      </c>
      <c r="C349" s="12" t="s">
        <v>39</v>
      </c>
      <c r="D349" s="12" t="s">
        <v>22</v>
      </c>
      <c r="E349" s="12" t="s">
        <v>48</v>
      </c>
      <c r="F349" s="12" t="s">
        <v>29</v>
      </c>
      <c r="G349" s="12" t="n">
        <v>6</v>
      </c>
      <c r="H349" s="14" t="n">
        <v>232.66</v>
      </c>
      <c r="I349" s="15" t="n">
        <v>0</v>
      </c>
      <c r="J349" s="14" t="n">
        <v>28.13</v>
      </c>
    </row>
    <row r="350" customFormat="false" ht="15" hidden="false" customHeight="true" outlineLevel="0" collapsed="false">
      <c r="A350" s="12" t="s">
        <v>387</v>
      </c>
      <c r="B350" s="13" t="n">
        <v>45911</v>
      </c>
      <c r="C350" s="12" t="s">
        <v>26</v>
      </c>
      <c r="D350" s="12" t="s">
        <v>31</v>
      </c>
      <c r="E350" s="12" t="s">
        <v>32</v>
      </c>
      <c r="F350" s="12" t="s">
        <v>29</v>
      </c>
      <c r="G350" s="12" t="n">
        <v>1</v>
      </c>
      <c r="H350" s="14" t="n">
        <v>233.69</v>
      </c>
      <c r="I350" s="15" t="n">
        <v>0.1</v>
      </c>
      <c r="J350" s="14" t="n">
        <v>16.71</v>
      </c>
    </row>
    <row r="351" customFormat="false" ht="15" hidden="false" customHeight="true" outlineLevel="0" collapsed="false">
      <c r="A351" s="12" t="s">
        <v>388</v>
      </c>
      <c r="B351" s="13" t="n">
        <v>45911</v>
      </c>
      <c r="C351" s="12" t="s">
        <v>39</v>
      </c>
      <c r="D351" s="12" t="s">
        <v>27</v>
      </c>
      <c r="E351" s="12" t="s">
        <v>51</v>
      </c>
      <c r="F351" s="12" t="s">
        <v>29</v>
      </c>
      <c r="G351" s="12" t="n">
        <v>3</v>
      </c>
      <c r="H351" s="14" t="n">
        <v>421.83</v>
      </c>
      <c r="I351" s="15" t="n">
        <v>0.1</v>
      </c>
      <c r="J351" s="14" t="n">
        <v>-57.69</v>
      </c>
    </row>
    <row r="352" customFormat="false" ht="15" hidden="false" customHeight="true" outlineLevel="0" collapsed="false">
      <c r="A352" s="12" t="s">
        <v>389</v>
      </c>
      <c r="B352" s="13" t="n">
        <v>45911</v>
      </c>
      <c r="C352" s="12" t="s">
        <v>34</v>
      </c>
      <c r="D352" s="12" t="s">
        <v>27</v>
      </c>
      <c r="E352" s="12" t="s">
        <v>51</v>
      </c>
      <c r="F352" s="12" t="s">
        <v>24</v>
      </c>
      <c r="G352" s="12" t="n">
        <v>4</v>
      </c>
      <c r="H352" s="14" t="n">
        <v>831.63</v>
      </c>
      <c r="I352" s="15" t="n">
        <v>0</v>
      </c>
      <c r="J352" s="14" t="n">
        <v>36.42</v>
      </c>
    </row>
    <row r="353" customFormat="false" ht="15" hidden="false" customHeight="true" outlineLevel="0" collapsed="false">
      <c r="A353" s="12" t="s">
        <v>390</v>
      </c>
      <c r="B353" s="13" t="n">
        <v>45911</v>
      </c>
      <c r="C353" s="12" t="s">
        <v>39</v>
      </c>
      <c r="D353" s="12" t="s">
        <v>27</v>
      </c>
      <c r="E353" s="12" t="s">
        <v>51</v>
      </c>
      <c r="F353" s="12" t="s">
        <v>29</v>
      </c>
      <c r="G353" s="12" t="n">
        <v>7</v>
      </c>
      <c r="H353" s="14" t="n">
        <v>1262.24</v>
      </c>
      <c r="I353" s="15" t="n">
        <v>0.4</v>
      </c>
      <c r="J353" s="14" t="n">
        <v>-584.69</v>
      </c>
    </row>
    <row r="354" customFormat="false" ht="15" hidden="false" customHeight="true" outlineLevel="0" collapsed="false">
      <c r="A354" s="12" t="s">
        <v>391</v>
      </c>
      <c r="B354" s="13" t="n">
        <v>45912</v>
      </c>
      <c r="C354" s="12" t="s">
        <v>21</v>
      </c>
      <c r="D354" s="12" t="s">
        <v>31</v>
      </c>
      <c r="E354" s="12" t="s">
        <v>41</v>
      </c>
      <c r="F354" s="12" t="s">
        <v>29</v>
      </c>
      <c r="G354" s="12" t="n">
        <v>1</v>
      </c>
      <c r="H354" s="14" t="n">
        <v>438.77</v>
      </c>
      <c r="I354" s="15" t="n">
        <v>0.1</v>
      </c>
      <c r="J354" s="14" t="n">
        <v>54.68</v>
      </c>
    </row>
    <row r="355" customFormat="false" ht="15" hidden="false" customHeight="true" outlineLevel="0" collapsed="false">
      <c r="A355" s="12" t="s">
        <v>392</v>
      </c>
      <c r="B355" s="13" t="n">
        <v>45912</v>
      </c>
      <c r="C355" s="12" t="s">
        <v>39</v>
      </c>
      <c r="D355" s="12" t="s">
        <v>31</v>
      </c>
      <c r="E355" s="12" t="s">
        <v>37</v>
      </c>
      <c r="F355" s="12" t="s">
        <v>35</v>
      </c>
      <c r="G355" s="12" t="n">
        <v>4</v>
      </c>
      <c r="H355" s="14" t="n">
        <v>1988.95</v>
      </c>
      <c r="I355" s="15" t="n">
        <v>0</v>
      </c>
      <c r="J355" s="14" t="n">
        <v>546.57</v>
      </c>
    </row>
    <row r="356" customFormat="false" ht="15" hidden="false" customHeight="true" outlineLevel="0" collapsed="false">
      <c r="A356" s="12" t="s">
        <v>393</v>
      </c>
      <c r="B356" s="13" t="n">
        <v>45912</v>
      </c>
      <c r="C356" s="12" t="s">
        <v>34</v>
      </c>
      <c r="D356" s="12" t="s">
        <v>27</v>
      </c>
      <c r="E356" s="12" t="s">
        <v>43</v>
      </c>
      <c r="F356" s="12" t="s">
        <v>24</v>
      </c>
      <c r="G356" s="12" t="n">
        <v>7</v>
      </c>
      <c r="H356" s="14" t="n">
        <v>1202.73</v>
      </c>
      <c r="I356" s="15" t="n">
        <v>0.1</v>
      </c>
      <c r="J356" s="14" t="n">
        <v>-48.94</v>
      </c>
    </row>
    <row r="357" customFormat="false" ht="15" hidden="false" customHeight="true" outlineLevel="0" collapsed="false">
      <c r="A357" s="12" t="s">
        <v>394</v>
      </c>
      <c r="B357" s="13" t="n">
        <v>45913</v>
      </c>
      <c r="C357" s="12" t="s">
        <v>39</v>
      </c>
      <c r="D357" s="12" t="s">
        <v>22</v>
      </c>
      <c r="E357" s="12" t="s">
        <v>48</v>
      </c>
      <c r="F357" s="12" t="s">
        <v>29</v>
      </c>
      <c r="G357" s="12" t="n">
        <v>2</v>
      </c>
      <c r="H357" s="14" t="n">
        <v>35.34</v>
      </c>
      <c r="I357" s="15" t="n">
        <v>0.3</v>
      </c>
      <c r="J357" s="14" t="n">
        <v>-4.99</v>
      </c>
    </row>
    <row r="358" customFormat="false" ht="15" hidden="false" customHeight="true" outlineLevel="0" collapsed="false">
      <c r="A358" s="12" t="s">
        <v>395</v>
      </c>
      <c r="B358" s="13" t="n">
        <v>45913</v>
      </c>
      <c r="C358" s="12" t="s">
        <v>39</v>
      </c>
      <c r="D358" s="12" t="s">
        <v>31</v>
      </c>
      <c r="E358" s="12" t="s">
        <v>37</v>
      </c>
      <c r="F358" s="12" t="s">
        <v>24</v>
      </c>
      <c r="G358" s="12" t="n">
        <v>1</v>
      </c>
      <c r="H358" s="14" t="n">
        <v>274.68</v>
      </c>
      <c r="I358" s="15" t="n">
        <v>0</v>
      </c>
      <c r="J358" s="14" t="n">
        <v>69.12</v>
      </c>
    </row>
    <row r="359" customFormat="false" ht="15" hidden="false" customHeight="true" outlineLevel="0" collapsed="false">
      <c r="A359" s="12" t="s">
        <v>396</v>
      </c>
      <c r="B359" s="13" t="n">
        <v>45914</v>
      </c>
      <c r="C359" s="12" t="s">
        <v>34</v>
      </c>
      <c r="D359" s="12" t="s">
        <v>22</v>
      </c>
      <c r="E359" s="12" t="s">
        <v>48</v>
      </c>
      <c r="F359" s="12" t="s">
        <v>24</v>
      </c>
      <c r="G359" s="12" t="n">
        <v>4</v>
      </c>
      <c r="H359" s="14" t="n">
        <v>100.72</v>
      </c>
      <c r="I359" s="15" t="n">
        <v>0.2</v>
      </c>
      <c r="J359" s="14" t="n">
        <v>9.72</v>
      </c>
    </row>
    <row r="360" customFormat="false" ht="15" hidden="false" customHeight="true" outlineLevel="0" collapsed="false">
      <c r="A360" s="12" t="s">
        <v>397</v>
      </c>
      <c r="B360" s="13" t="n">
        <v>45914</v>
      </c>
      <c r="C360" s="12" t="s">
        <v>34</v>
      </c>
      <c r="D360" s="12" t="s">
        <v>31</v>
      </c>
      <c r="E360" s="12" t="s">
        <v>41</v>
      </c>
      <c r="F360" s="12" t="s">
        <v>29</v>
      </c>
      <c r="G360" s="12" t="n">
        <v>5</v>
      </c>
      <c r="H360" s="14" t="n">
        <v>853.39</v>
      </c>
      <c r="I360" s="15" t="n">
        <v>0.4</v>
      </c>
      <c r="J360" s="14" t="n">
        <v>-88.88</v>
      </c>
    </row>
    <row r="361" customFormat="false" ht="15" hidden="false" customHeight="true" outlineLevel="0" collapsed="false">
      <c r="A361" s="12" t="s">
        <v>398</v>
      </c>
      <c r="B361" s="13" t="n">
        <v>45915</v>
      </c>
      <c r="C361" s="12" t="s">
        <v>39</v>
      </c>
      <c r="D361" s="12" t="s">
        <v>31</v>
      </c>
      <c r="E361" s="12" t="s">
        <v>32</v>
      </c>
      <c r="F361" s="12" t="s">
        <v>35</v>
      </c>
      <c r="G361" s="12" t="n">
        <v>7</v>
      </c>
      <c r="H361" s="14" t="n">
        <v>2514.41</v>
      </c>
      <c r="I361" s="15" t="n">
        <v>0</v>
      </c>
      <c r="J361" s="14" t="n">
        <v>591.59</v>
      </c>
    </row>
    <row r="362" customFormat="false" ht="15" hidden="false" customHeight="true" outlineLevel="0" collapsed="false">
      <c r="A362" s="12" t="s">
        <v>399</v>
      </c>
      <c r="B362" s="13" t="n">
        <v>45915</v>
      </c>
      <c r="C362" s="12" t="s">
        <v>21</v>
      </c>
      <c r="D362" s="12" t="s">
        <v>22</v>
      </c>
      <c r="E362" s="12" t="s">
        <v>48</v>
      </c>
      <c r="F362" s="12" t="s">
        <v>35</v>
      </c>
      <c r="G362" s="12" t="n">
        <v>6</v>
      </c>
      <c r="H362" s="14" t="n">
        <v>177.17</v>
      </c>
      <c r="I362" s="15" t="n">
        <v>0</v>
      </c>
      <c r="J362" s="14" t="n">
        <v>31.37</v>
      </c>
    </row>
    <row r="363" customFormat="false" ht="15" hidden="false" customHeight="true" outlineLevel="0" collapsed="false">
      <c r="A363" s="12" t="s">
        <v>400</v>
      </c>
      <c r="B363" s="13" t="n">
        <v>45915</v>
      </c>
      <c r="C363" s="12" t="s">
        <v>34</v>
      </c>
      <c r="D363" s="12" t="s">
        <v>31</v>
      </c>
      <c r="E363" s="12" t="s">
        <v>41</v>
      </c>
      <c r="F363" s="12" t="s">
        <v>29</v>
      </c>
      <c r="G363" s="12" t="n">
        <v>5</v>
      </c>
      <c r="H363" s="14" t="n">
        <v>1282.32</v>
      </c>
      <c r="I363" s="15" t="n">
        <v>0</v>
      </c>
      <c r="J363" s="14" t="n">
        <v>278.06</v>
      </c>
    </row>
    <row r="364" customFormat="false" ht="15" hidden="false" customHeight="true" outlineLevel="0" collapsed="false">
      <c r="A364" s="12" t="s">
        <v>401</v>
      </c>
      <c r="B364" s="13" t="n">
        <v>45916</v>
      </c>
      <c r="C364" s="12" t="s">
        <v>34</v>
      </c>
      <c r="D364" s="12" t="s">
        <v>31</v>
      </c>
      <c r="E364" s="12" t="s">
        <v>41</v>
      </c>
      <c r="F364" s="12" t="s">
        <v>29</v>
      </c>
      <c r="G364" s="12" t="n">
        <v>1</v>
      </c>
      <c r="H364" s="14" t="n">
        <v>457.23</v>
      </c>
      <c r="I364" s="15" t="n">
        <v>0</v>
      </c>
      <c r="J364" s="14" t="n">
        <v>101.49</v>
      </c>
    </row>
    <row r="365" customFormat="false" ht="15" hidden="false" customHeight="true" outlineLevel="0" collapsed="false">
      <c r="A365" s="12" t="s">
        <v>402</v>
      </c>
      <c r="B365" s="13" t="n">
        <v>45917</v>
      </c>
      <c r="C365" s="12" t="s">
        <v>39</v>
      </c>
      <c r="D365" s="12" t="s">
        <v>22</v>
      </c>
      <c r="E365" s="12" t="s">
        <v>45</v>
      </c>
      <c r="F365" s="12" t="s">
        <v>29</v>
      </c>
      <c r="G365" s="12" t="n">
        <v>2</v>
      </c>
      <c r="H365" s="14" t="n">
        <v>45.78</v>
      </c>
      <c r="I365" s="15" t="n">
        <v>0.2</v>
      </c>
      <c r="J365" s="14" t="n">
        <v>2.16</v>
      </c>
    </row>
    <row r="366" customFormat="false" ht="15" hidden="false" customHeight="true" outlineLevel="0" collapsed="false">
      <c r="A366" s="12" t="s">
        <v>403</v>
      </c>
      <c r="B366" s="13" t="n">
        <v>45917</v>
      </c>
      <c r="C366" s="12" t="s">
        <v>26</v>
      </c>
      <c r="D366" s="12" t="s">
        <v>22</v>
      </c>
      <c r="E366" s="12" t="s">
        <v>48</v>
      </c>
      <c r="F366" s="12" t="s">
        <v>24</v>
      </c>
      <c r="G366" s="12" t="n">
        <v>6</v>
      </c>
      <c r="H366" s="14" t="n">
        <v>238.95</v>
      </c>
      <c r="I366" s="15" t="n">
        <v>0.2</v>
      </c>
      <c r="J366" s="14" t="n">
        <v>-36.26</v>
      </c>
    </row>
    <row r="367" customFormat="false" ht="15" hidden="false" customHeight="true" outlineLevel="0" collapsed="false">
      <c r="A367" s="12" t="s">
        <v>404</v>
      </c>
      <c r="B367" s="13" t="n">
        <v>45919</v>
      </c>
      <c r="C367" s="12" t="s">
        <v>39</v>
      </c>
      <c r="D367" s="12" t="s">
        <v>22</v>
      </c>
      <c r="E367" s="12" t="s">
        <v>23</v>
      </c>
      <c r="F367" s="12" t="s">
        <v>24</v>
      </c>
      <c r="G367" s="12" t="n">
        <v>2</v>
      </c>
      <c r="H367" s="14" t="n">
        <v>65.37</v>
      </c>
      <c r="I367" s="15" t="n">
        <v>0</v>
      </c>
      <c r="J367" s="14" t="n">
        <v>14.09</v>
      </c>
    </row>
    <row r="368" customFormat="false" ht="15" hidden="false" customHeight="true" outlineLevel="0" collapsed="false">
      <c r="A368" s="12" t="s">
        <v>405</v>
      </c>
      <c r="B368" s="13" t="n">
        <v>45919</v>
      </c>
      <c r="C368" s="12" t="s">
        <v>26</v>
      </c>
      <c r="D368" s="12" t="s">
        <v>22</v>
      </c>
      <c r="E368" s="12" t="s">
        <v>23</v>
      </c>
      <c r="F368" s="12" t="s">
        <v>24</v>
      </c>
      <c r="G368" s="12" t="n">
        <v>2</v>
      </c>
      <c r="H368" s="14" t="n">
        <v>107.18</v>
      </c>
      <c r="I368" s="15" t="n">
        <v>0</v>
      </c>
      <c r="J368" s="14" t="n">
        <v>19.3</v>
      </c>
    </row>
    <row r="369" customFormat="false" ht="15" hidden="false" customHeight="true" outlineLevel="0" collapsed="false">
      <c r="A369" s="12" t="s">
        <v>406</v>
      </c>
      <c r="B369" s="13" t="n">
        <v>45920</v>
      </c>
      <c r="C369" s="12" t="s">
        <v>34</v>
      </c>
      <c r="D369" s="12" t="s">
        <v>22</v>
      </c>
      <c r="E369" s="12" t="s">
        <v>45</v>
      </c>
      <c r="F369" s="12" t="s">
        <v>24</v>
      </c>
      <c r="G369" s="12" t="n">
        <v>1</v>
      </c>
      <c r="H369" s="14" t="n">
        <v>59.25</v>
      </c>
      <c r="I369" s="15" t="n">
        <v>0</v>
      </c>
      <c r="J369" s="14" t="n">
        <v>15.34</v>
      </c>
    </row>
    <row r="370" customFormat="false" ht="15" hidden="false" customHeight="true" outlineLevel="0" collapsed="false">
      <c r="A370" s="12" t="s">
        <v>407</v>
      </c>
      <c r="B370" s="13" t="n">
        <v>45920</v>
      </c>
      <c r="C370" s="12" t="s">
        <v>39</v>
      </c>
      <c r="D370" s="12" t="s">
        <v>31</v>
      </c>
      <c r="E370" s="12" t="s">
        <v>37</v>
      </c>
      <c r="F370" s="12" t="s">
        <v>24</v>
      </c>
      <c r="G370" s="12" t="n">
        <v>5</v>
      </c>
      <c r="H370" s="14" t="n">
        <v>1419.67</v>
      </c>
      <c r="I370" s="15" t="n">
        <v>0</v>
      </c>
      <c r="J370" s="14" t="n">
        <v>259.04</v>
      </c>
    </row>
    <row r="371" customFormat="false" ht="15" hidden="false" customHeight="true" outlineLevel="0" collapsed="false">
      <c r="A371" s="12" t="s">
        <v>408</v>
      </c>
      <c r="B371" s="13" t="n">
        <v>45920</v>
      </c>
      <c r="C371" s="12" t="s">
        <v>39</v>
      </c>
      <c r="D371" s="12" t="s">
        <v>27</v>
      </c>
      <c r="E371" s="12" t="s">
        <v>28</v>
      </c>
      <c r="F371" s="12" t="s">
        <v>24</v>
      </c>
      <c r="G371" s="12" t="n">
        <v>2</v>
      </c>
      <c r="H371" s="14" t="n">
        <v>728.19</v>
      </c>
      <c r="I371" s="15" t="n">
        <v>0</v>
      </c>
      <c r="J371" s="14" t="n">
        <v>-6.29</v>
      </c>
    </row>
    <row r="372" customFormat="false" ht="15" hidden="false" customHeight="true" outlineLevel="0" collapsed="false">
      <c r="A372" s="12" t="s">
        <v>409</v>
      </c>
      <c r="B372" s="13" t="n">
        <v>45922</v>
      </c>
      <c r="C372" s="12" t="s">
        <v>26</v>
      </c>
      <c r="D372" s="12" t="s">
        <v>22</v>
      </c>
      <c r="E372" s="12" t="s">
        <v>48</v>
      </c>
      <c r="F372" s="12" t="s">
        <v>35</v>
      </c>
      <c r="G372" s="12" t="n">
        <v>2</v>
      </c>
      <c r="H372" s="14" t="n">
        <v>43.67</v>
      </c>
      <c r="I372" s="15" t="n">
        <v>0.2</v>
      </c>
      <c r="J372" s="14" t="n">
        <v>-2.39</v>
      </c>
    </row>
    <row r="373" customFormat="false" ht="15" hidden="false" customHeight="true" outlineLevel="0" collapsed="false">
      <c r="A373" s="12" t="s">
        <v>410</v>
      </c>
      <c r="B373" s="13" t="n">
        <v>45923</v>
      </c>
      <c r="C373" s="12" t="s">
        <v>34</v>
      </c>
      <c r="D373" s="12" t="s">
        <v>22</v>
      </c>
      <c r="E373" s="12" t="s">
        <v>45</v>
      </c>
      <c r="F373" s="12" t="s">
        <v>24</v>
      </c>
      <c r="G373" s="12" t="n">
        <v>2</v>
      </c>
      <c r="H373" s="14" t="n">
        <v>58.17</v>
      </c>
      <c r="I373" s="15" t="n">
        <v>0</v>
      </c>
      <c r="J373" s="14" t="n">
        <v>12.17</v>
      </c>
    </row>
    <row r="374" customFormat="false" ht="15" hidden="false" customHeight="true" outlineLevel="0" collapsed="false">
      <c r="A374" s="12" t="s">
        <v>411</v>
      </c>
      <c r="B374" s="13" t="n">
        <v>45924</v>
      </c>
      <c r="C374" s="12" t="s">
        <v>34</v>
      </c>
      <c r="D374" s="12" t="s">
        <v>31</v>
      </c>
      <c r="E374" s="12" t="s">
        <v>32</v>
      </c>
      <c r="F374" s="12" t="s">
        <v>24</v>
      </c>
      <c r="G374" s="12" t="n">
        <v>5</v>
      </c>
      <c r="H374" s="14" t="n">
        <v>1381.82</v>
      </c>
      <c r="I374" s="15" t="n">
        <v>0</v>
      </c>
      <c r="J374" s="14" t="n">
        <v>234.91</v>
      </c>
    </row>
    <row r="375" customFormat="false" ht="15" hidden="false" customHeight="true" outlineLevel="0" collapsed="false">
      <c r="A375" s="12" t="s">
        <v>412</v>
      </c>
      <c r="B375" s="13" t="n">
        <v>45925</v>
      </c>
      <c r="C375" s="12" t="s">
        <v>26</v>
      </c>
      <c r="D375" s="12" t="s">
        <v>31</v>
      </c>
      <c r="E375" s="12" t="s">
        <v>32</v>
      </c>
      <c r="F375" s="12" t="s">
        <v>24</v>
      </c>
      <c r="G375" s="12" t="n">
        <v>7</v>
      </c>
      <c r="H375" s="14" t="n">
        <v>2251.68</v>
      </c>
      <c r="I375" s="15" t="n">
        <v>0</v>
      </c>
      <c r="J375" s="14" t="n">
        <v>421.82</v>
      </c>
    </row>
    <row r="376" customFormat="false" ht="15" hidden="false" customHeight="true" outlineLevel="0" collapsed="false">
      <c r="A376" s="12" t="s">
        <v>413</v>
      </c>
      <c r="B376" s="13" t="n">
        <v>45925</v>
      </c>
      <c r="C376" s="12" t="s">
        <v>26</v>
      </c>
      <c r="D376" s="12" t="s">
        <v>22</v>
      </c>
      <c r="E376" s="12" t="s">
        <v>45</v>
      </c>
      <c r="F376" s="12" t="s">
        <v>29</v>
      </c>
      <c r="G376" s="12" t="n">
        <v>7</v>
      </c>
      <c r="H376" s="14" t="n">
        <v>356.88</v>
      </c>
      <c r="I376" s="15" t="n">
        <v>0</v>
      </c>
      <c r="J376" s="14" t="n">
        <v>35.97</v>
      </c>
    </row>
    <row r="377" customFormat="false" ht="15" hidden="false" customHeight="true" outlineLevel="0" collapsed="false">
      <c r="A377" s="12" t="s">
        <v>414</v>
      </c>
      <c r="B377" s="13" t="n">
        <v>45925</v>
      </c>
      <c r="C377" s="12" t="s">
        <v>21</v>
      </c>
      <c r="D377" s="12" t="s">
        <v>22</v>
      </c>
      <c r="E377" s="12" t="s">
        <v>23</v>
      </c>
      <c r="F377" s="12" t="s">
        <v>29</v>
      </c>
      <c r="G377" s="12" t="n">
        <v>2</v>
      </c>
      <c r="H377" s="14" t="n">
        <v>33.01</v>
      </c>
      <c r="I377" s="15" t="n">
        <v>0.4</v>
      </c>
      <c r="J377" s="14" t="n">
        <v>-6.59</v>
      </c>
    </row>
    <row r="378" customFormat="false" ht="15" hidden="false" customHeight="true" outlineLevel="0" collapsed="false">
      <c r="A378" s="12" t="s">
        <v>415</v>
      </c>
      <c r="B378" s="13" t="n">
        <v>45925</v>
      </c>
      <c r="C378" s="12" t="s">
        <v>34</v>
      </c>
      <c r="D378" s="12" t="s">
        <v>31</v>
      </c>
      <c r="E378" s="12" t="s">
        <v>37</v>
      </c>
      <c r="F378" s="12" t="s">
        <v>24</v>
      </c>
      <c r="G378" s="12" t="n">
        <v>5</v>
      </c>
      <c r="H378" s="14" t="n">
        <v>1082.65</v>
      </c>
      <c r="I378" s="15" t="n">
        <v>0.3</v>
      </c>
      <c r="J378" s="14" t="n">
        <v>-9.64</v>
      </c>
    </row>
    <row r="379" customFormat="false" ht="15" hidden="false" customHeight="true" outlineLevel="0" collapsed="false">
      <c r="A379" s="12" t="s">
        <v>416</v>
      </c>
      <c r="B379" s="13" t="n">
        <v>45926</v>
      </c>
      <c r="C379" s="12" t="s">
        <v>34</v>
      </c>
      <c r="D379" s="12" t="s">
        <v>22</v>
      </c>
      <c r="E379" s="12" t="s">
        <v>45</v>
      </c>
      <c r="F379" s="12" t="s">
        <v>29</v>
      </c>
      <c r="G379" s="12" t="n">
        <v>2</v>
      </c>
      <c r="H379" s="14" t="n">
        <v>44.95</v>
      </c>
      <c r="I379" s="15" t="n">
        <v>0.4</v>
      </c>
      <c r="J379" s="14" t="n">
        <v>-8.28</v>
      </c>
    </row>
    <row r="380" customFormat="false" ht="15" hidden="false" customHeight="true" outlineLevel="0" collapsed="false">
      <c r="A380" s="12" t="s">
        <v>417</v>
      </c>
      <c r="B380" s="13" t="n">
        <v>45926</v>
      </c>
      <c r="C380" s="12" t="s">
        <v>26</v>
      </c>
      <c r="D380" s="12" t="s">
        <v>22</v>
      </c>
      <c r="E380" s="12" t="s">
        <v>48</v>
      </c>
      <c r="F380" s="12" t="s">
        <v>29</v>
      </c>
      <c r="G380" s="12" t="n">
        <v>2</v>
      </c>
      <c r="H380" s="14" t="n">
        <v>44.25</v>
      </c>
      <c r="I380" s="15" t="n">
        <v>0.1</v>
      </c>
      <c r="J380" s="14" t="n">
        <v>3.73</v>
      </c>
    </row>
    <row r="381" customFormat="false" ht="15" hidden="false" customHeight="true" outlineLevel="0" collapsed="false">
      <c r="A381" s="12" t="s">
        <v>418</v>
      </c>
      <c r="B381" s="13" t="n">
        <v>45926</v>
      </c>
      <c r="C381" s="12" t="s">
        <v>21</v>
      </c>
      <c r="D381" s="12" t="s">
        <v>22</v>
      </c>
      <c r="E381" s="12" t="s">
        <v>23</v>
      </c>
      <c r="F381" s="12" t="s">
        <v>35</v>
      </c>
      <c r="G381" s="12" t="n">
        <v>5</v>
      </c>
      <c r="H381" s="14" t="n">
        <v>229.97</v>
      </c>
      <c r="I381" s="15" t="n">
        <v>0</v>
      </c>
      <c r="J381" s="14" t="n">
        <v>51.29</v>
      </c>
    </row>
    <row r="382" customFormat="false" ht="15" hidden="false" customHeight="true" outlineLevel="0" collapsed="false">
      <c r="A382" s="12" t="s">
        <v>419</v>
      </c>
      <c r="B382" s="13" t="n">
        <v>45926</v>
      </c>
      <c r="C382" s="12" t="s">
        <v>39</v>
      </c>
      <c r="D382" s="12" t="s">
        <v>22</v>
      </c>
      <c r="E382" s="12" t="s">
        <v>45</v>
      </c>
      <c r="F382" s="12" t="s">
        <v>24</v>
      </c>
      <c r="G382" s="12" t="n">
        <v>2</v>
      </c>
      <c r="H382" s="14" t="n">
        <v>72.96</v>
      </c>
      <c r="I382" s="15" t="n">
        <v>0.3</v>
      </c>
      <c r="J382" s="14" t="n">
        <v>-3.69</v>
      </c>
    </row>
    <row r="383" customFormat="false" ht="15" hidden="false" customHeight="true" outlineLevel="0" collapsed="false">
      <c r="A383" s="12" t="s">
        <v>420</v>
      </c>
      <c r="B383" s="13" t="n">
        <v>45926</v>
      </c>
      <c r="C383" s="12" t="s">
        <v>34</v>
      </c>
      <c r="D383" s="12" t="s">
        <v>27</v>
      </c>
      <c r="E383" s="12" t="s">
        <v>28</v>
      </c>
      <c r="F383" s="12" t="s">
        <v>24</v>
      </c>
      <c r="G383" s="12" t="n">
        <v>6</v>
      </c>
      <c r="H383" s="14" t="n">
        <v>1298.55</v>
      </c>
      <c r="I383" s="15" t="n">
        <v>0.4</v>
      </c>
      <c r="J383" s="14" t="n">
        <v>-488.99</v>
      </c>
    </row>
    <row r="384" customFormat="false" ht="15" hidden="false" customHeight="true" outlineLevel="0" collapsed="false">
      <c r="A384" s="12" t="s">
        <v>421</v>
      </c>
      <c r="B384" s="13" t="n">
        <v>45927</v>
      </c>
      <c r="C384" s="12" t="s">
        <v>34</v>
      </c>
      <c r="D384" s="12" t="s">
        <v>31</v>
      </c>
      <c r="E384" s="12" t="s">
        <v>37</v>
      </c>
      <c r="F384" s="12" t="s">
        <v>29</v>
      </c>
      <c r="G384" s="12" t="n">
        <v>7</v>
      </c>
      <c r="H384" s="14" t="n">
        <v>1985.11</v>
      </c>
      <c r="I384" s="15" t="n">
        <v>0</v>
      </c>
      <c r="J384" s="14" t="n">
        <v>497.59</v>
      </c>
    </row>
    <row r="385" customFormat="false" ht="15" hidden="false" customHeight="true" outlineLevel="0" collapsed="false">
      <c r="A385" s="12" t="s">
        <v>422</v>
      </c>
      <c r="B385" s="13" t="n">
        <v>45927</v>
      </c>
      <c r="C385" s="12" t="s">
        <v>39</v>
      </c>
      <c r="D385" s="12" t="s">
        <v>31</v>
      </c>
      <c r="E385" s="12" t="s">
        <v>37</v>
      </c>
      <c r="F385" s="12" t="s">
        <v>35</v>
      </c>
      <c r="G385" s="12" t="n">
        <v>5</v>
      </c>
      <c r="H385" s="14" t="n">
        <v>1729.97</v>
      </c>
      <c r="I385" s="15" t="n">
        <v>0.3</v>
      </c>
      <c r="J385" s="14" t="n">
        <v>-37.03</v>
      </c>
    </row>
    <row r="386" customFormat="false" ht="15" hidden="false" customHeight="true" outlineLevel="0" collapsed="false">
      <c r="A386" s="12" t="s">
        <v>423</v>
      </c>
      <c r="B386" s="13" t="n">
        <v>45927</v>
      </c>
      <c r="C386" s="12" t="s">
        <v>39</v>
      </c>
      <c r="D386" s="12" t="s">
        <v>22</v>
      </c>
      <c r="E386" s="12" t="s">
        <v>23</v>
      </c>
      <c r="F386" s="12" t="s">
        <v>35</v>
      </c>
      <c r="G386" s="12" t="n">
        <v>5</v>
      </c>
      <c r="H386" s="14" t="n">
        <v>139.46</v>
      </c>
      <c r="I386" s="15" t="n">
        <v>0.2</v>
      </c>
      <c r="J386" s="14" t="n">
        <v>-7.22</v>
      </c>
    </row>
    <row r="387" customFormat="false" ht="15" hidden="false" customHeight="true" outlineLevel="0" collapsed="false">
      <c r="A387" s="12" t="s">
        <v>424</v>
      </c>
      <c r="B387" s="13" t="n">
        <v>45928</v>
      </c>
      <c r="C387" s="12" t="s">
        <v>34</v>
      </c>
      <c r="D387" s="12" t="s">
        <v>22</v>
      </c>
      <c r="E387" s="12" t="s">
        <v>45</v>
      </c>
      <c r="F387" s="12" t="s">
        <v>24</v>
      </c>
      <c r="G387" s="12" t="n">
        <v>2</v>
      </c>
      <c r="H387" s="14" t="n">
        <v>96.48</v>
      </c>
      <c r="I387" s="15" t="n">
        <v>0</v>
      </c>
      <c r="J387" s="14" t="n">
        <v>20.26</v>
      </c>
    </row>
    <row r="388" customFormat="false" ht="15" hidden="false" customHeight="true" outlineLevel="0" collapsed="false">
      <c r="A388" s="12" t="s">
        <v>425</v>
      </c>
      <c r="B388" s="13" t="n">
        <v>45928</v>
      </c>
      <c r="C388" s="12" t="s">
        <v>34</v>
      </c>
      <c r="D388" s="12" t="s">
        <v>22</v>
      </c>
      <c r="E388" s="12" t="s">
        <v>48</v>
      </c>
      <c r="F388" s="12" t="s">
        <v>29</v>
      </c>
      <c r="G388" s="12" t="n">
        <v>2</v>
      </c>
      <c r="H388" s="14" t="n">
        <v>80.7</v>
      </c>
      <c r="I388" s="15" t="n">
        <v>0</v>
      </c>
      <c r="J388" s="14" t="n">
        <v>12.37</v>
      </c>
    </row>
    <row r="389" customFormat="false" ht="15" hidden="false" customHeight="true" outlineLevel="0" collapsed="false">
      <c r="A389" s="12" t="s">
        <v>426</v>
      </c>
      <c r="B389" s="13" t="n">
        <v>45929</v>
      </c>
      <c r="C389" s="12" t="s">
        <v>39</v>
      </c>
      <c r="D389" s="12" t="s">
        <v>22</v>
      </c>
      <c r="E389" s="12" t="s">
        <v>45</v>
      </c>
      <c r="F389" s="12" t="s">
        <v>24</v>
      </c>
      <c r="G389" s="12" t="n">
        <v>6</v>
      </c>
      <c r="H389" s="14" t="n">
        <v>141.71</v>
      </c>
      <c r="I389" s="15" t="n">
        <v>0.4</v>
      </c>
      <c r="J389" s="14" t="n">
        <v>-30.29</v>
      </c>
    </row>
    <row r="390" customFormat="false" ht="15" hidden="false" customHeight="true" outlineLevel="0" collapsed="false">
      <c r="A390" s="12" t="s">
        <v>427</v>
      </c>
      <c r="B390" s="13" t="n">
        <v>45929</v>
      </c>
      <c r="C390" s="12" t="s">
        <v>26</v>
      </c>
      <c r="D390" s="12" t="s">
        <v>27</v>
      </c>
      <c r="E390" s="12" t="s">
        <v>28</v>
      </c>
      <c r="F390" s="12" t="s">
        <v>24</v>
      </c>
      <c r="G390" s="12" t="n">
        <v>1</v>
      </c>
      <c r="H390" s="14" t="n">
        <v>317.95</v>
      </c>
      <c r="I390" s="15" t="n">
        <v>0.1</v>
      </c>
      <c r="J390" s="14" t="n">
        <v>-49.12</v>
      </c>
    </row>
    <row r="391" customFormat="false" ht="15" hidden="false" customHeight="true" outlineLevel="0" collapsed="false">
      <c r="A391" s="12" t="s">
        <v>428</v>
      </c>
      <c r="B391" s="13" t="n">
        <v>45931</v>
      </c>
      <c r="C391" s="12" t="s">
        <v>34</v>
      </c>
      <c r="D391" s="12" t="s">
        <v>22</v>
      </c>
      <c r="E391" s="12" t="s">
        <v>45</v>
      </c>
      <c r="F391" s="12" t="s">
        <v>29</v>
      </c>
      <c r="G391" s="12" t="n">
        <v>4</v>
      </c>
      <c r="H391" s="14" t="n">
        <v>63.1</v>
      </c>
      <c r="I391" s="15" t="n">
        <v>0.4</v>
      </c>
      <c r="J391" s="14" t="n">
        <v>-7.39</v>
      </c>
    </row>
    <row r="392" customFormat="false" ht="15" hidden="false" customHeight="true" outlineLevel="0" collapsed="false">
      <c r="A392" s="12" t="s">
        <v>429</v>
      </c>
      <c r="B392" s="13" t="n">
        <v>45931</v>
      </c>
      <c r="C392" s="12" t="s">
        <v>26</v>
      </c>
      <c r="D392" s="12" t="s">
        <v>22</v>
      </c>
      <c r="E392" s="12" t="s">
        <v>45</v>
      </c>
      <c r="F392" s="12" t="s">
        <v>35</v>
      </c>
      <c r="G392" s="12" t="n">
        <v>6</v>
      </c>
      <c r="H392" s="14" t="n">
        <v>183.7</v>
      </c>
      <c r="I392" s="15" t="n">
        <v>0</v>
      </c>
      <c r="J392" s="14" t="n">
        <v>9.87</v>
      </c>
    </row>
    <row r="393" customFormat="false" ht="15" hidden="false" customHeight="true" outlineLevel="0" collapsed="false">
      <c r="A393" s="12" t="s">
        <v>430</v>
      </c>
      <c r="B393" s="13" t="n">
        <v>45931</v>
      </c>
      <c r="C393" s="12" t="s">
        <v>39</v>
      </c>
      <c r="D393" s="12" t="s">
        <v>22</v>
      </c>
      <c r="E393" s="12" t="s">
        <v>45</v>
      </c>
      <c r="F393" s="12" t="s">
        <v>29</v>
      </c>
      <c r="G393" s="12" t="n">
        <v>4</v>
      </c>
      <c r="H393" s="14" t="n">
        <v>106.11</v>
      </c>
      <c r="I393" s="15" t="n">
        <v>0</v>
      </c>
      <c r="J393" s="14" t="n">
        <v>15.27</v>
      </c>
    </row>
    <row r="394" customFormat="false" ht="15" hidden="false" customHeight="true" outlineLevel="0" collapsed="false">
      <c r="A394" s="12" t="s">
        <v>431</v>
      </c>
      <c r="B394" s="13" t="n">
        <v>45931</v>
      </c>
      <c r="C394" s="12" t="s">
        <v>21</v>
      </c>
      <c r="D394" s="12" t="s">
        <v>31</v>
      </c>
      <c r="E394" s="12" t="s">
        <v>37</v>
      </c>
      <c r="F394" s="12" t="s">
        <v>35</v>
      </c>
      <c r="G394" s="12" t="n">
        <v>3</v>
      </c>
      <c r="H394" s="14" t="n">
        <v>917.68</v>
      </c>
      <c r="I394" s="15" t="n">
        <v>0</v>
      </c>
      <c r="J394" s="14" t="n">
        <v>258.7</v>
      </c>
    </row>
    <row r="395" customFormat="false" ht="15" hidden="false" customHeight="true" outlineLevel="0" collapsed="false">
      <c r="A395" s="12" t="s">
        <v>432</v>
      </c>
      <c r="B395" s="13" t="n">
        <v>45931</v>
      </c>
      <c r="C395" s="12" t="s">
        <v>39</v>
      </c>
      <c r="D395" s="12" t="s">
        <v>22</v>
      </c>
      <c r="E395" s="12" t="s">
        <v>23</v>
      </c>
      <c r="F395" s="12" t="s">
        <v>29</v>
      </c>
      <c r="G395" s="12" t="n">
        <v>4</v>
      </c>
      <c r="H395" s="14" t="n">
        <v>183</v>
      </c>
      <c r="I395" s="15" t="n">
        <v>0</v>
      </c>
      <c r="J395" s="14" t="n">
        <v>43.27</v>
      </c>
    </row>
    <row r="396" customFormat="false" ht="15" hidden="false" customHeight="true" outlineLevel="0" collapsed="false">
      <c r="A396" s="12" t="s">
        <v>433</v>
      </c>
      <c r="B396" s="13" t="n">
        <v>45932</v>
      </c>
      <c r="C396" s="12" t="s">
        <v>21</v>
      </c>
      <c r="D396" s="12" t="s">
        <v>22</v>
      </c>
      <c r="E396" s="12" t="s">
        <v>45</v>
      </c>
      <c r="F396" s="12" t="s">
        <v>24</v>
      </c>
      <c r="G396" s="12" t="n">
        <v>5</v>
      </c>
      <c r="H396" s="14" t="n">
        <v>127.23</v>
      </c>
      <c r="I396" s="15" t="n">
        <v>0</v>
      </c>
      <c r="J396" s="14" t="n">
        <v>28.33</v>
      </c>
    </row>
    <row r="397" customFormat="false" ht="15" hidden="false" customHeight="true" outlineLevel="0" collapsed="false">
      <c r="A397" s="12" t="s">
        <v>434</v>
      </c>
      <c r="B397" s="13" t="n">
        <v>45932</v>
      </c>
      <c r="C397" s="12" t="s">
        <v>34</v>
      </c>
      <c r="D397" s="12" t="s">
        <v>27</v>
      </c>
      <c r="E397" s="12" t="s">
        <v>28</v>
      </c>
      <c r="F397" s="12" t="s">
        <v>35</v>
      </c>
      <c r="G397" s="12" t="n">
        <v>6</v>
      </c>
      <c r="H397" s="14" t="n">
        <v>1626.08</v>
      </c>
      <c r="I397" s="15" t="n">
        <v>0</v>
      </c>
      <c r="J397" s="14" t="n">
        <v>-49.84</v>
      </c>
    </row>
    <row r="398" customFormat="false" ht="15" hidden="false" customHeight="true" outlineLevel="0" collapsed="false">
      <c r="A398" s="12" t="s">
        <v>435</v>
      </c>
      <c r="B398" s="13" t="n">
        <v>45932</v>
      </c>
      <c r="C398" s="12" t="s">
        <v>26</v>
      </c>
      <c r="D398" s="12" t="s">
        <v>27</v>
      </c>
      <c r="E398" s="12" t="s">
        <v>28</v>
      </c>
      <c r="F398" s="12" t="s">
        <v>35</v>
      </c>
      <c r="G398" s="12" t="n">
        <v>1</v>
      </c>
      <c r="H398" s="14" t="n">
        <v>151.63</v>
      </c>
      <c r="I398" s="15" t="n">
        <v>0.2</v>
      </c>
      <c r="J398" s="14" t="n">
        <v>-39.93</v>
      </c>
    </row>
    <row r="399" customFormat="false" ht="15" hidden="false" customHeight="true" outlineLevel="0" collapsed="false">
      <c r="A399" s="12" t="s">
        <v>436</v>
      </c>
      <c r="B399" s="13" t="n">
        <v>45933</v>
      </c>
      <c r="C399" s="12" t="s">
        <v>34</v>
      </c>
      <c r="D399" s="12" t="s">
        <v>27</v>
      </c>
      <c r="E399" s="12" t="s">
        <v>51</v>
      </c>
      <c r="F399" s="12" t="s">
        <v>24</v>
      </c>
      <c r="G399" s="12" t="n">
        <v>2</v>
      </c>
      <c r="H399" s="14" t="n">
        <v>394.89</v>
      </c>
      <c r="I399" s="15" t="n">
        <v>0.2</v>
      </c>
      <c r="J399" s="14" t="n">
        <v>-53.55</v>
      </c>
    </row>
    <row r="400" customFormat="false" ht="15" hidden="false" customHeight="true" outlineLevel="0" collapsed="false">
      <c r="A400" s="12" t="s">
        <v>437</v>
      </c>
      <c r="B400" s="13" t="n">
        <v>45934</v>
      </c>
      <c r="C400" s="12" t="s">
        <v>21</v>
      </c>
      <c r="D400" s="12" t="s">
        <v>27</v>
      </c>
      <c r="E400" s="12" t="s">
        <v>43</v>
      </c>
      <c r="F400" s="12" t="s">
        <v>24</v>
      </c>
      <c r="G400" s="12" t="n">
        <v>2</v>
      </c>
      <c r="H400" s="14" t="n">
        <v>520.69</v>
      </c>
      <c r="I400" s="15" t="n">
        <v>0.3</v>
      </c>
      <c r="J400" s="14" t="n">
        <v>-141.37</v>
      </c>
    </row>
    <row r="401" customFormat="false" ht="15" hidden="false" customHeight="true" outlineLevel="0" collapsed="false">
      <c r="A401" s="12" t="s">
        <v>438</v>
      </c>
      <c r="B401" s="13" t="n">
        <v>45935</v>
      </c>
      <c r="C401" s="12" t="s">
        <v>34</v>
      </c>
      <c r="D401" s="12" t="s">
        <v>31</v>
      </c>
      <c r="E401" s="12" t="s">
        <v>41</v>
      </c>
      <c r="F401" s="12" t="s">
        <v>29</v>
      </c>
      <c r="G401" s="12" t="n">
        <v>2</v>
      </c>
      <c r="H401" s="14" t="n">
        <v>586.77</v>
      </c>
      <c r="I401" s="15" t="n">
        <v>0</v>
      </c>
      <c r="J401" s="14" t="n">
        <v>113.69</v>
      </c>
    </row>
    <row r="402" customFormat="false" ht="15" hidden="false" customHeight="true" outlineLevel="0" collapsed="false">
      <c r="A402" s="12" t="s">
        <v>439</v>
      </c>
      <c r="B402" s="13" t="n">
        <v>45935</v>
      </c>
      <c r="C402" s="12" t="s">
        <v>26</v>
      </c>
      <c r="D402" s="12" t="s">
        <v>22</v>
      </c>
      <c r="E402" s="12" t="s">
        <v>45</v>
      </c>
      <c r="F402" s="12" t="s">
        <v>24</v>
      </c>
      <c r="G402" s="12" t="n">
        <v>5</v>
      </c>
      <c r="H402" s="14" t="n">
        <v>102.45</v>
      </c>
      <c r="I402" s="15" t="n">
        <v>0.3</v>
      </c>
      <c r="J402" s="14" t="n">
        <v>-17.38</v>
      </c>
    </row>
    <row r="403" customFormat="false" ht="15" hidden="false" customHeight="true" outlineLevel="0" collapsed="false">
      <c r="A403" s="12" t="s">
        <v>440</v>
      </c>
      <c r="B403" s="13" t="n">
        <v>45935</v>
      </c>
      <c r="C403" s="12" t="s">
        <v>39</v>
      </c>
      <c r="D403" s="12" t="s">
        <v>27</v>
      </c>
      <c r="E403" s="12" t="s">
        <v>28</v>
      </c>
      <c r="F403" s="12" t="s">
        <v>29</v>
      </c>
      <c r="G403" s="12" t="n">
        <v>6</v>
      </c>
      <c r="H403" s="14" t="n">
        <v>2075.87</v>
      </c>
      <c r="I403" s="15" t="n">
        <v>0</v>
      </c>
      <c r="J403" s="14" t="n">
        <v>-53.34</v>
      </c>
    </row>
    <row r="404" customFormat="false" ht="15" hidden="false" customHeight="true" outlineLevel="0" collapsed="false">
      <c r="A404" s="12" t="s">
        <v>441</v>
      </c>
      <c r="B404" s="13" t="n">
        <v>45936</v>
      </c>
      <c r="C404" s="12" t="s">
        <v>26</v>
      </c>
      <c r="D404" s="12" t="s">
        <v>22</v>
      </c>
      <c r="E404" s="12" t="s">
        <v>45</v>
      </c>
      <c r="F404" s="12" t="s">
        <v>24</v>
      </c>
      <c r="G404" s="12" t="n">
        <v>1</v>
      </c>
      <c r="H404" s="14" t="n">
        <v>31.01</v>
      </c>
      <c r="I404" s="15" t="n">
        <v>0</v>
      </c>
      <c r="J404" s="14" t="n">
        <v>3.4</v>
      </c>
    </row>
    <row r="405" customFormat="false" ht="15" hidden="false" customHeight="true" outlineLevel="0" collapsed="false">
      <c r="A405" s="12" t="s">
        <v>442</v>
      </c>
      <c r="B405" s="13" t="n">
        <v>45936</v>
      </c>
      <c r="C405" s="12" t="s">
        <v>39</v>
      </c>
      <c r="D405" s="12" t="s">
        <v>22</v>
      </c>
      <c r="E405" s="12" t="s">
        <v>48</v>
      </c>
      <c r="F405" s="12" t="s">
        <v>24</v>
      </c>
      <c r="G405" s="12" t="n">
        <v>3</v>
      </c>
      <c r="H405" s="14" t="n">
        <v>89.74</v>
      </c>
      <c r="I405" s="15" t="n">
        <v>0</v>
      </c>
      <c r="J405" s="14" t="n">
        <v>15.02</v>
      </c>
    </row>
    <row r="406" customFormat="false" ht="15" hidden="false" customHeight="true" outlineLevel="0" collapsed="false">
      <c r="A406" s="12" t="s">
        <v>443</v>
      </c>
      <c r="B406" s="13" t="n">
        <v>45936</v>
      </c>
      <c r="C406" s="12" t="s">
        <v>34</v>
      </c>
      <c r="D406" s="12" t="s">
        <v>31</v>
      </c>
      <c r="E406" s="12" t="s">
        <v>32</v>
      </c>
      <c r="F406" s="12" t="s">
        <v>29</v>
      </c>
      <c r="G406" s="12" t="n">
        <v>2</v>
      </c>
      <c r="H406" s="14" t="n">
        <v>709.85</v>
      </c>
      <c r="I406" s="15" t="n">
        <v>0.4</v>
      </c>
      <c r="J406" s="14" t="n">
        <v>-100.08</v>
      </c>
    </row>
    <row r="407" customFormat="false" ht="15" hidden="false" customHeight="true" outlineLevel="0" collapsed="false">
      <c r="A407" s="12" t="s">
        <v>444</v>
      </c>
      <c r="B407" s="13" t="n">
        <v>45937</v>
      </c>
      <c r="C407" s="12" t="s">
        <v>39</v>
      </c>
      <c r="D407" s="12" t="s">
        <v>22</v>
      </c>
      <c r="E407" s="12" t="s">
        <v>48</v>
      </c>
      <c r="F407" s="12" t="s">
        <v>24</v>
      </c>
      <c r="G407" s="12" t="n">
        <v>3</v>
      </c>
      <c r="H407" s="14" t="n">
        <v>158.61</v>
      </c>
      <c r="I407" s="15" t="n">
        <v>0</v>
      </c>
      <c r="J407" s="14" t="n">
        <v>27.28</v>
      </c>
    </row>
    <row r="408" customFormat="false" ht="15" hidden="false" customHeight="true" outlineLevel="0" collapsed="false">
      <c r="A408" s="12" t="s">
        <v>445</v>
      </c>
      <c r="B408" s="13" t="n">
        <v>45938</v>
      </c>
      <c r="C408" s="12" t="s">
        <v>34</v>
      </c>
      <c r="D408" s="12" t="s">
        <v>22</v>
      </c>
      <c r="E408" s="12" t="s">
        <v>45</v>
      </c>
      <c r="F408" s="12" t="s">
        <v>29</v>
      </c>
      <c r="G408" s="12" t="n">
        <v>7</v>
      </c>
      <c r="H408" s="14" t="n">
        <v>232.98</v>
      </c>
      <c r="I408" s="15" t="n">
        <v>0.2</v>
      </c>
      <c r="J408" s="14" t="n">
        <v>-6.84</v>
      </c>
    </row>
    <row r="409" customFormat="false" ht="15" hidden="false" customHeight="true" outlineLevel="0" collapsed="false">
      <c r="A409" s="12" t="s">
        <v>446</v>
      </c>
      <c r="B409" s="13" t="n">
        <v>45938</v>
      </c>
      <c r="C409" s="12" t="s">
        <v>34</v>
      </c>
      <c r="D409" s="12" t="s">
        <v>27</v>
      </c>
      <c r="E409" s="12" t="s">
        <v>51</v>
      </c>
      <c r="F409" s="12" t="s">
        <v>24</v>
      </c>
      <c r="G409" s="12" t="n">
        <v>2</v>
      </c>
      <c r="H409" s="14" t="n">
        <v>349.12</v>
      </c>
      <c r="I409" s="15" t="n">
        <v>0</v>
      </c>
      <c r="J409" s="14" t="n">
        <v>-13.63</v>
      </c>
    </row>
    <row r="410" customFormat="false" ht="15" hidden="false" customHeight="true" outlineLevel="0" collapsed="false">
      <c r="A410" s="12" t="s">
        <v>447</v>
      </c>
      <c r="B410" s="13" t="n">
        <v>45938</v>
      </c>
      <c r="C410" s="12" t="s">
        <v>34</v>
      </c>
      <c r="D410" s="12" t="s">
        <v>27</v>
      </c>
      <c r="E410" s="12" t="s">
        <v>51</v>
      </c>
      <c r="F410" s="12" t="s">
        <v>29</v>
      </c>
      <c r="G410" s="12" t="n">
        <v>4</v>
      </c>
      <c r="H410" s="14" t="n">
        <v>480.42</v>
      </c>
      <c r="I410" s="15" t="n">
        <v>0.4</v>
      </c>
      <c r="J410" s="14" t="n">
        <v>-196.51</v>
      </c>
    </row>
    <row r="411" customFormat="false" ht="15" hidden="false" customHeight="true" outlineLevel="0" collapsed="false">
      <c r="A411" s="12" t="s">
        <v>448</v>
      </c>
      <c r="B411" s="13" t="n">
        <v>45939</v>
      </c>
      <c r="C411" s="12" t="s">
        <v>21</v>
      </c>
      <c r="D411" s="12" t="s">
        <v>27</v>
      </c>
      <c r="E411" s="12" t="s">
        <v>28</v>
      </c>
      <c r="F411" s="12" t="s">
        <v>24</v>
      </c>
      <c r="G411" s="12" t="n">
        <v>2</v>
      </c>
      <c r="H411" s="14" t="n">
        <v>515.4</v>
      </c>
      <c r="I411" s="15" t="n">
        <v>0.2</v>
      </c>
      <c r="J411" s="14" t="n">
        <v>-113.86</v>
      </c>
    </row>
    <row r="412" customFormat="false" ht="15" hidden="false" customHeight="true" outlineLevel="0" collapsed="false">
      <c r="A412" s="12" t="s">
        <v>449</v>
      </c>
      <c r="B412" s="13" t="n">
        <v>45939</v>
      </c>
      <c r="C412" s="12" t="s">
        <v>34</v>
      </c>
      <c r="D412" s="12" t="s">
        <v>31</v>
      </c>
      <c r="E412" s="12" t="s">
        <v>32</v>
      </c>
      <c r="F412" s="12" t="s">
        <v>29</v>
      </c>
      <c r="G412" s="12" t="n">
        <v>4</v>
      </c>
      <c r="H412" s="14" t="n">
        <v>933.72</v>
      </c>
      <c r="I412" s="15" t="n">
        <v>0.2</v>
      </c>
      <c r="J412" s="14" t="n">
        <v>87.76</v>
      </c>
    </row>
    <row r="413" customFormat="false" ht="15" hidden="false" customHeight="true" outlineLevel="0" collapsed="false">
      <c r="A413" s="12" t="s">
        <v>450</v>
      </c>
      <c r="B413" s="13" t="n">
        <v>45941</v>
      </c>
      <c r="C413" s="12" t="s">
        <v>39</v>
      </c>
      <c r="D413" s="12" t="s">
        <v>22</v>
      </c>
      <c r="E413" s="12" t="s">
        <v>48</v>
      </c>
      <c r="F413" s="12" t="s">
        <v>29</v>
      </c>
      <c r="G413" s="12" t="n">
        <v>6</v>
      </c>
      <c r="H413" s="14" t="n">
        <v>223.8</v>
      </c>
      <c r="I413" s="15" t="n">
        <v>0.2</v>
      </c>
      <c r="J413" s="14" t="n">
        <v>5.64</v>
      </c>
    </row>
    <row r="414" customFormat="false" ht="15" hidden="false" customHeight="true" outlineLevel="0" collapsed="false">
      <c r="A414" s="12" t="s">
        <v>451</v>
      </c>
      <c r="B414" s="13" t="n">
        <v>45942</v>
      </c>
      <c r="C414" s="12" t="s">
        <v>34</v>
      </c>
      <c r="D414" s="12" t="s">
        <v>27</v>
      </c>
      <c r="E414" s="12" t="s">
        <v>51</v>
      </c>
      <c r="F414" s="12" t="s">
        <v>24</v>
      </c>
      <c r="G414" s="12" t="n">
        <v>4</v>
      </c>
      <c r="H414" s="14" t="n">
        <v>1049.37</v>
      </c>
      <c r="I414" s="15" t="n">
        <v>0.1</v>
      </c>
      <c r="J414" s="14" t="n">
        <v>-31.38</v>
      </c>
    </row>
    <row r="415" customFormat="false" ht="15" hidden="false" customHeight="true" outlineLevel="0" collapsed="false">
      <c r="A415" s="12" t="s">
        <v>452</v>
      </c>
      <c r="B415" s="13" t="n">
        <v>45943</v>
      </c>
      <c r="C415" s="12" t="s">
        <v>26</v>
      </c>
      <c r="D415" s="12" t="s">
        <v>31</v>
      </c>
      <c r="E415" s="12" t="s">
        <v>37</v>
      </c>
      <c r="F415" s="12" t="s">
        <v>29</v>
      </c>
      <c r="G415" s="12" t="n">
        <v>7</v>
      </c>
      <c r="H415" s="14" t="n">
        <v>1650.66</v>
      </c>
      <c r="I415" s="15" t="n">
        <v>0.1</v>
      </c>
      <c r="J415" s="14" t="n">
        <v>116.21</v>
      </c>
    </row>
    <row r="416" customFormat="false" ht="15" hidden="false" customHeight="true" outlineLevel="0" collapsed="false">
      <c r="A416" s="12" t="s">
        <v>453</v>
      </c>
      <c r="B416" s="13" t="n">
        <v>45943</v>
      </c>
      <c r="C416" s="12" t="s">
        <v>21</v>
      </c>
      <c r="D416" s="12" t="s">
        <v>22</v>
      </c>
      <c r="E416" s="12" t="s">
        <v>48</v>
      </c>
      <c r="F416" s="12" t="s">
        <v>24</v>
      </c>
      <c r="G416" s="12" t="n">
        <v>2</v>
      </c>
      <c r="H416" s="14" t="n">
        <v>30.85</v>
      </c>
      <c r="I416" s="15" t="n">
        <v>0.4</v>
      </c>
      <c r="J416" s="14" t="n">
        <v>-6.55</v>
      </c>
    </row>
    <row r="417" customFormat="false" ht="15" hidden="false" customHeight="true" outlineLevel="0" collapsed="false">
      <c r="A417" s="12" t="s">
        <v>454</v>
      </c>
      <c r="B417" s="13" t="n">
        <v>45944</v>
      </c>
      <c r="C417" s="12" t="s">
        <v>39</v>
      </c>
      <c r="D417" s="12" t="s">
        <v>22</v>
      </c>
      <c r="E417" s="12" t="s">
        <v>45</v>
      </c>
      <c r="F417" s="12" t="s">
        <v>35</v>
      </c>
      <c r="G417" s="12" t="n">
        <v>6</v>
      </c>
      <c r="H417" s="14" t="n">
        <v>157.17</v>
      </c>
      <c r="I417" s="15" t="n">
        <v>0.4</v>
      </c>
      <c r="J417" s="14" t="n">
        <v>-21.24</v>
      </c>
    </row>
    <row r="418" customFormat="false" ht="15" hidden="false" customHeight="true" outlineLevel="0" collapsed="false">
      <c r="A418" s="12" t="s">
        <v>455</v>
      </c>
      <c r="B418" s="13" t="n">
        <v>45944</v>
      </c>
      <c r="C418" s="12" t="s">
        <v>26</v>
      </c>
      <c r="D418" s="12" t="s">
        <v>22</v>
      </c>
      <c r="E418" s="12" t="s">
        <v>48</v>
      </c>
      <c r="F418" s="12" t="s">
        <v>29</v>
      </c>
      <c r="G418" s="12" t="n">
        <v>1</v>
      </c>
      <c r="H418" s="14" t="n">
        <v>18.96</v>
      </c>
      <c r="I418" s="15" t="n">
        <v>0.3</v>
      </c>
      <c r="J418" s="14" t="n">
        <v>-2.22</v>
      </c>
    </row>
    <row r="419" customFormat="false" ht="15" hidden="false" customHeight="true" outlineLevel="0" collapsed="false">
      <c r="A419" s="12" t="s">
        <v>456</v>
      </c>
      <c r="B419" s="13" t="n">
        <v>45944</v>
      </c>
      <c r="C419" s="12" t="s">
        <v>26</v>
      </c>
      <c r="D419" s="12" t="s">
        <v>22</v>
      </c>
      <c r="E419" s="12" t="s">
        <v>45</v>
      </c>
      <c r="F419" s="12" t="s">
        <v>35</v>
      </c>
      <c r="G419" s="12" t="n">
        <v>4</v>
      </c>
      <c r="H419" s="14" t="n">
        <v>174.36</v>
      </c>
      <c r="I419" s="15" t="n">
        <v>0.2</v>
      </c>
      <c r="J419" s="14" t="n">
        <v>-5.35</v>
      </c>
    </row>
    <row r="420" customFormat="false" ht="15" hidden="false" customHeight="true" outlineLevel="0" collapsed="false">
      <c r="A420" s="12" t="s">
        <v>457</v>
      </c>
      <c r="B420" s="13" t="n">
        <v>45947</v>
      </c>
      <c r="C420" s="12" t="s">
        <v>39</v>
      </c>
      <c r="D420" s="12" t="s">
        <v>31</v>
      </c>
      <c r="E420" s="12" t="s">
        <v>41</v>
      </c>
      <c r="F420" s="12" t="s">
        <v>35</v>
      </c>
      <c r="G420" s="12" t="n">
        <v>4</v>
      </c>
      <c r="H420" s="14" t="n">
        <v>1139</v>
      </c>
      <c r="I420" s="15" t="n">
        <v>0.2</v>
      </c>
      <c r="J420" s="14" t="n">
        <v>8.69</v>
      </c>
    </row>
    <row r="421" customFormat="false" ht="15" hidden="false" customHeight="true" outlineLevel="0" collapsed="false">
      <c r="A421" s="12" t="s">
        <v>458</v>
      </c>
      <c r="B421" s="13" t="n">
        <v>45947</v>
      </c>
      <c r="C421" s="12" t="s">
        <v>34</v>
      </c>
      <c r="D421" s="12" t="s">
        <v>22</v>
      </c>
      <c r="E421" s="12" t="s">
        <v>45</v>
      </c>
      <c r="F421" s="12" t="s">
        <v>24</v>
      </c>
      <c r="G421" s="12" t="n">
        <v>4</v>
      </c>
      <c r="H421" s="14" t="n">
        <v>82.86</v>
      </c>
      <c r="I421" s="15" t="n">
        <v>0.4</v>
      </c>
      <c r="J421" s="14" t="n">
        <v>-11.89</v>
      </c>
    </row>
    <row r="422" customFormat="false" ht="15" hidden="false" customHeight="true" outlineLevel="0" collapsed="false">
      <c r="A422" s="12" t="s">
        <v>459</v>
      </c>
      <c r="B422" s="13" t="n">
        <v>45947</v>
      </c>
      <c r="C422" s="12" t="s">
        <v>39</v>
      </c>
      <c r="D422" s="12" t="s">
        <v>22</v>
      </c>
      <c r="E422" s="12" t="s">
        <v>23</v>
      </c>
      <c r="F422" s="12" t="s">
        <v>29</v>
      </c>
      <c r="G422" s="12" t="n">
        <v>6</v>
      </c>
      <c r="H422" s="14" t="n">
        <v>227.38</v>
      </c>
      <c r="I422" s="15" t="n">
        <v>0.1</v>
      </c>
      <c r="J422" s="14" t="n">
        <v>8.88</v>
      </c>
    </row>
    <row r="423" customFormat="false" ht="15" hidden="false" customHeight="true" outlineLevel="0" collapsed="false">
      <c r="A423" s="12" t="s">
        <v>460</v>
      </c>
      <c r="B423" s="13" t="n">
        <v>45948</v>
      </c>
      <c r="C423" s="12" t="s">
        <v>26</v>
      </c>
      <c r="D423" s="12" t="s">
        <v>22</v>
      </c>
      <c r="E423" s="12" t="s">
        <v>23</v>
      </c>
      <c r="F423" s="12" t="s">
        <v>29</v>
      </c>
      <c r="G423" s="12" t="n">
        <v>7</v>
      </c>
      <c r="H423" s="14" t="n">
        <v>197.26</v>
      </c>
      <c r="I423" s="15" t="n">
        <v>0</v>
      </c>
      <c r="J423" s="14" t="n">
        <v>16.45</v>
      </c>
    </row>
    <row r="424" customFormat="false" ht="15" hidden="false" customHeight="true" outlineLevel="0" collapsed="false">
      <c r="A424" s="12" t="s">
        <v>461</v>
      </c>
      <c r="B424" s="13" t="n">
        <v>45948</v>
      </c>
      <c r="C424" s="12" t="s">
        <v>34</v>
      </c>
      <c r="D424" s="12" t="s">
        <v>22</v>
      </c>
      <c r="E424" s="12" t="s">
        <v>45</v>
      </c>
      <c r="F424" s="12" t="s">
        <v>24</v>
      </c>
      <c r="G424" s="12" t="n">
        <v>4</v>
      </c>
      <c r="H424" s="14" t="n">
        <v>148.69</v>
      </c>
      <c r="I424" s="15" t="n">
        <v>0.1</v>
      </c>
      <c r="J424" s="14" t="n">
        <v>12.21</v>
      </c>
    </row>
    <row r="425" customFormat="false" ht="15" hidden="false" customHeight="true" outlineLevel="0" collapsed="false">
      <c r="A425" s="12" t="s">
        <v>462</v>
      </c>
      <c r="B425" s="13" t="n">
        <v>45949</v>
      </c>
      <c r="C425" s="12" t="s">
        <v>34</v>
      </c>
      <c r="D425" s="12" t="s">
        <v>22</v>
      </c>
      <c r="E425" s="12" t="s">
        <v>23</v>
      </c>
      <c r="F425" s="12" t="s">
        <v>24</v>
      </c>
      <c r="G425" s="12" t="n">
        <v>7</v>
      </c>
      <c r="H425" s="14" t="n">
        <v>197.84</v>
      </c>
      <c r="I425" s="15" t="n">
        <v>0.2</v>
      </c>
      <c r="J425" s="14" t="n">
        <v>-0.06</v>
      </c>
    </row>
    <row r="426" customFormat="false" ht="15" hidden="false" customHeight="true" outlineLevel="0" collapsed="false">
      <c r="A426" s="12" t="s">
        <v>463</v>
      </c>
      <c r="B426" s="13" t="n">
        <v>45949</v>
      </c>
      <c r="C426" s="12" t="s">
        <v>39</v>
      </c>
      <c r="D426" s="12" t="s">
        <v>22</v>
      </c>
      <c r="E426" s="12" t="s">
        <v>45</v>
      </c>
      <c r="F426" s="12" t="s">
        <v>29</v>
      </c>
      <c r="G426" s="12" t="n">
        <v>5</v>
      </c>
      <c r="H426" s="14" t="n">
        <v>252.62</v>
      </c>
      <c r="I426" s="15" t="n">
        <v>0.1</v>
      </c>
      <c r="J426" s="14" t="n">
        <v>28.05</v>
      </c>
    </row>
    <row r="427" customFormat="false" ht="15" hidden="false" customHeight="true" outlineLevel="0" collapsed="false">
      <c r="A427" s="12" t="s">
        <v>464</v>
      </c>
      <c r="B427" s="13" t="n">
        <v>45949</v>
      </c>
      <c r="C427" s="12" t="s">
        <v>34</v>
      </c>
      <c r="D427" s="12" t="s">
        <v>27</v>
      </c>
      <c r="E427" s="12" t="s">
        <v>51</v>
      </c>
      <c r="F427" s="12" t="s">
        <v>29</v>
      </c>
      <c r="G427" s="12" t="n">
        <v>5</v>
      </c>
      <c r="H427" s="14" t="n">
        <v>1851.01</v>
      </c>
      <c r="I427" s="15" t="n">
        <v>0</v>
      </c>
      <c r="J427" s="14" t="n">
        <v>209.33</v>
      </c>
    </row>
    <row r="428" customFormat="false" ht="15" hidden="false" customHeight="true" outlineLevel="0" collapsed="false">
      <c r="A428" s="12" t="s">
        <v>465</v>
      </c>
      <c r="B428" s="13" t="n">
        <v>45949</v>
      </c>
      <c r="C428" s="12" t="s">
        <v>21</v>
      </c>
      <c r="D428" s="12" t="s">
        <v>31</v>
      </c>
      <c r="E428" s="12" t="s">
        <v>32</v>
      </c>
      <c r="F428" s="12" t="s">
        <v>35</v>
      </c>
      <c r="G428" s="12" t="n">
        <v>3</v>
      </c>
      <c r="H428" s="14" t="n">
        <v>1248.7</v>
      </c>
      <c r="I428" s="15" t="n">
        <v>0.1</v>
      </c>
      <c r="J428" s="14" t="n">
        <v>99.34</v>
      </c>
    </row>
    <row r="429" customFormat="false" ht="15" hidden="false" customHeight="true" outlineLevel="0" collapsed="false">
      <c r="A429" s="12" t="s">
        <v>466</v>
      </c>
      <c r="B429" s="13" t="n">
        <v>45950</v>
      </c>
      <c r="C429" s="12" t="s">
        <v>21</v>
      </c>
      <c r="D429" s="12" t="s">
        <v>22</v>
      </c>
      <c r="E429" s="12" t="s">
        <v>45</v>
      </c>
      <c r="F429" s="12" t="s">
        <v>29</v>
      </c>
      <c r="G429" s="12" t="n">
        <v>1</v>
      </c>
      <c r="H429" s="14" t="n">
        <v>28.98</v>
      </c>
      <c r="I429" s="15" t="n">
        <v>0</v>
      </c>
      <c r="J429" s="14" t="n">
        <v>6.5</v>
      </c>
    </row>
    <row r="430" customFormat="false" ht="15" hidden="false" customHeight="true" outlineLevel="0" collapsed="false">
      <c r="A430" s="12" t="s">
        <v>467</v>
      </c>
      <c r="B430" s="13" t="n">
        <v>45950</v>
      </c>
      <c r="C430" s="12" t="s">
        <v>26</v>
      </c>
      <c r="D430" s="12" t="s">
        <v>31</v>
      </c>
      <c r="E430" s="12" t="s">
        <v>37</v>
      </c>
      <c r="F430" s="12" t="s">
        <v>35</v>
      </c>
      <c r="G430" s="12" t="n">
        <v>1</v>
      </c>
      <c r="H430" s="14" t="n">
        <v>196.19</v>
      </c>
      <c r="I430" s="15" t="n">
        <v>0.3</v>
      </c>
      <c r="J430" s="14" t="n">
        <v>-18.77</v>
      </c>
    </row>
    <row r="431" customFormat="false" ht="15" hidden="false" customHeight="true" outlineLevel="0" collapsed="false">
      <c r="A431" s="12" t="s">
        <v>468</v>
      </c>
      <c r="B431" s="13" t="n">
        <v>45951</v>
      </c>
      <c r="C431" s="12" t="s">
        <v>39</v>
      </c>
      <c r="D431" s="12" t="s">
        <v>22</v>
      </c>
      <c r="E431" s="12" t="s">
        <v>45</v>
      </c>
      <c r="F431" s="12" t="s">
        <v>35</v>
      </c>
      <c r="G431" s="12" t="n">
        <v>4</v>
      </c>
      <c r="H431" s="14" t="n">
        <v>203.97</v>
      </c>
      <c r="I431" s="15" t="n">
        <v>0.1</v>
      </c>
      <c r="J431" s="14" t="n">
        <v>16.97</v>
      </c>
    </row>
    <row r="432" customFormat="false" ht="15" hidden="false" customHeight="true" outlineLevel="0" collapsed="false">
      <c r="A432" s="12" t="s">
        <v>469</v>
      </c>
      <c r="B432" s="13" t="n">
        <v>45952</v>
      </c>
      <c r="C432" s="12" t="s">
        <v>39</v>
      </c>
      <c r="D432" s="12" t="s">
        <v>31</v>
      </c>
      <c r="E432" s="12" t="s">
        <v>37</v>
      </c>
      <c r="F432" s="12" t="s">
        <v>24</v>
      </c>
      <c r="G432" s="12" t="n">
        <v>4</v>
      </c>
      <c r="H432" s="14" t="n">
        <v>812.3</v>
      </c>
      <c r="I432" s="15" t="n">
        <v>0.3</v>
      </c>
      <c r="J432" s="14" t="n">
        <v>-38.33</v>
      </c>
    </row>
    <row r="433" customFormat="false" ht="15" hidden="false" customHeight="true" outlineLevel="0" collapsed="false">
      <c r="A433" s="12" t="s">
        <v>470</v>
      </c>
      <c r="B433" s="13" t="n">
        <v>45952</v>
      </c>
      <c r="C433" s="12" t="s">
        <v>39</v>
      </c>
      <c r="D433" s="12" t="s">
        <v>22</v>
      </c>
      <c r="E433" s="12" t="s">
        <v>48</v>
      </c>
      <c r="F433" s="12" t="s">
        <v>29</v>
      </c>
      <c r="G433" s="12" t="n">
        <v>5</v>
      </c>
      <c r="H433" s="14" t="n">
        <v>231.61</v>
      </c>
      <c r="I433" s="15" t="n">
        <v>0</v>
      </c>
      <c r="J433" s="14" t="n">
        <v>35.34</v>
      </c>
    </row>
    <row r="434" customFormat="false" ht="15" hidden="false" customHeight="true" outlineLevel="0" collapsed="false">
      <c r="A434" s="12" t="s">
        <v>471</v>
      </c>
      <c r="B434" s="13" t="n">
        <v>45954</v>
      </c>
      <c r="C434" s="12" t="s">
        <v>21</v>
      </c>
      <c r="D434" s="12" t="s">
        <v>27</v>
      </c>
      <c r="E434" s="12" t="s">
        <v>51</v>
      </c>
      <c r="F434" s="12" t="s">
        <v>29</v>
      </c>
      <c r="G434" s="12" t="n">
        <v>6</v>
      </c>
      <c r="H434" s="14" t="n">
        <v>1861.24</v>
      </c>
      <c r="I434" s="15" t="n">
        <v>0</v>
      </c>
      <c r="J434" s="14" t="n">
        <v>-20.7</v>
      </c>
    </row>
    <row r="435" customFormat="false" ht="15" hidden="false" customHeight="true" outlineLevel="0" collapsed="false">
      <c r="A435" s="12" t="s">
        <v>472</v>
      </c>
      <c r="B435" s="13" t="n">
        <v>45955</v>
      </c>
      <c r="C435" s="12" t="s">
        <v>39</v>
      </c>
      <c r="D435" s="12" t="s">
        <v>22</v>
      </c>
      <c r="E435" s="12" t="s">
        <v>48</v>
      </c>
      <c r="F435" s="12" t="s">
        <v>35</v>
      </c>
      <c r="G435" s="12" t="n">
        <v>5</v>
      </c>
      <c r="H435" s="14" t="n">
        <v>160.73</v>
      </c>
      <c r="I435" s="15" t="n">
        <v>0.4</v>
      </c>
      <c r="J435" s="14" t="n">
        <v>-37.01</v>
      </c>
    </row>
    <row r="436" customFormat="false" ht="15" hidden="false" customHeight="true" outlineLevel="0" collapsed="false">
      <c r="A436" s="12" t="s">
        <v>473</v>
      </c>
      <c r="B436" s="13" t="n">
        <v>45955</v>
      </c>
      <c r="C436" s="12" t="s">
        <v>39</v>
      </c>
      <c r="D436" s="12" t="s">
        <v>22</v>
      </c>
      <c r="E436" s="12" t="s">
        <v>23</v>
      </c>
      <c r="F436" s="12" t="s">
        <v>29</v>
      </c>
      <c r="G436" s="12" t="n">
        <v>7</v>
      </c>
      <c r="H436" s="14" t="n">
        <v>185.77</v>
      </c>
      <c r="I436" s="15" t="n">
        <v>0.4</v>
      </c>
      <c r="J436" s="14" t="n">
        <v>-33.76</v>
      </c>
    </row>
    <row r="437" customFormat="false" ht="15" hidden="false" customHeight="true" outlineLevel="0" collapsed="false">
      <c r="A437" s="12" t="s">
        <v>474</v>
      </c>
      <c r="B437" s="13" t="n">
        <v>45955</v>
      </c>
      <c r="C437" s="12" t="s">
        <v>34</v>
      </c>
      <c r="D437" s="12" t="s">
        <v>27</v>
      </c>
      <c r="E437" s="12" t="s">
        <v>51</v>
      </c>
      <c r="F437" s="12" t="s">
        <v>29</v>
      </c>
      <c r="G437" s="12" t="n">
        <v>6</v>
      </c>
      <c r="H437" s="14" t="n">
        <v>992.77</v>
      </c>
      <c r="I437" s="15" t="n">
        <v>0</v>
      </c>
      <c r="J437" s="14" t="n">
        <v>-53.7</v>
      </c>
    </row>
    <row r="438" customFormat="false" ht="15" hidden="false" customHeight="true" outlineLevel="0" collapsed="false">
      <c r="A438" s="12" t="s">
        <v>475</v>
      </c>
      <c r="B438" s="13" t="n">
        <v>45956</v>
      </c>
      <c r="C438" s="12" t="s">
        <v>26</v>
      </c>
      <c r="D438" s="12" t="s">
        <v>31</v>
      </c>
      <c r="E438" s="12" t="s">
        <v>32</v>
      </c>
      <c r="F438" s="12" t="s">
        <v>24</v>
      </c>
      <c r="G438" s="12" t="n">
        <v>3</v>
      </c>
      <c r="H438" s="14" t="n">
        <v>676.84</v>
      </c>
      <c r="I438" s="15" t="n">
        <v>0.4</v>
      </c>
      <c r="J438" s="14" t="n">
        <v>-165.05</v>
      </c>
    </row>
    <row r="439" customFormat="false" ht="15" hidden="false" customHeight="true" outlineLevel="0" collapsed="false">
      <c r="A439" s="12" t="s">
        <v>476</v>
      </c>
      <c r="B439" s="13" t="n">
        <v>45958</v>
      </c>
      <c r="C439" s="12" t="s">
        <v>39</v>
      </c>
      <c r="D439" s="12" t="s">
        <v>22</v>
      </c>
      <c r="E439" s="12" t="s">
        <v>23</v>
      </c>
      <c r="F439" s="12" t="s">
        <v>29</v>
      </c>
      <c r="G439" s="12" t="n">
        <v>2</v>
      </c>
      <c r="H439" s="14" t="n">
        <v>62.59</v>
      </c>
      <c r="I439" s="15" t="n">
        <v>0.4</v>
      </c>
      <c r="J439" s="14" t="n">
        <v>-14.91</v>
      </c>
    </row>
    <row r="440" customFormat="false" ht="15" hidden="false" customHeight="true" outlineLevel="0" collapsed="false">
      <c r="A440" s="12" t="s">
        <v>477</v>
      </c>
      <c r="B440" s="13" t="n">
        <v>45958</v>
      </c>
      <c r="C440" s="12" t="s">
        <v>26</v>
      </c>
      <c r="D440" s="12" t="s">
        <v>31</v>
      </c>
      <c r="E440" s="12" t="s">
        <v>32</v>
      </c>
      <c r="F440" s="12" t="s">
        <v>29</v>
      </c>
      <c r="G440" s="12" t="n">
        <v>1</v>
      </c>
      <c r="H440" s="14" t="n">
        <v>550.45</v>
      </c>
      <c r="I440" s="15" t="n">
        <v>0</v>
      </c>
      <c r="J440" s="14" t="n">
        <v>116.31</v>
      </c>
    </row>
    <row r="441" customFormat="false" ht="15" hidden="false" customHeight="true" outlineLevel="0" collapsed="false">
      <c r="A441" s="12" t="s">
        <v>478</v>
      </c>
      <c r="B441" s="13" t="n">
        <v>45959</v>
      </c>
      <c r="C441" s="12" t="s">
        <v>26</v>
      </c>
      <c r="D441" s="12" t="s">
        <v>31</v>
      </c>
      <c r="E441" s="12" t="s">
        <v>32</v>
      </c>
      <c r="F441" s="12" t="s">
        <v>24</v>
      </c>
      <c r="G441" s="12" t="n">
        <v>3</v>
      </c>
      <c r="H441" s="14" t="n">
        <v>1107.95</v>
      </c>
      <c r="I441" s="15" t="n">
        <v>0</v>
      </c>
      <c r="J441" s="14" t="n">
        <v>114.86</v>
      </c>
    </row>
    <row r="442" customFormat="false" ht="15" hidden="false" customHeight="true" outlineLevel="0" collapsed="false">
      <c r="A442" s="12" t="s">
        <v>479</v>
      </c>
      <c r="B442" s="13" t="n">
        <v>45961</v>
      </c>
      <c r="C442" s="12" t="s">
        <v>34</v>
      </c>
      <c r="D442" s="12" t="s">
        <v>22</v>
      </c>
      <c r="E442" s="12" t="s">
        <v>48</v>
      </c>
      <c r="F442" s="12" t="s">
        <v>29</v>
      </c>
      <c r="G442" s="12" t="n">
        <v>4</v>
      </c>
      <c r="H442" s="14" t="n">
        <v>140.47</v>
      </c>
      <c r="I442" s="15" t="n">
        <v>0.2</v>
      </c>
      <c r="J442" s="14" t="n">
        <v>-10.24</v>
      </c>
    </row>
    <row r="443" customFormat="false" ht="15" hidden="false" customHeight="true" outlineLevel="0" collapsed="false">
      <c r="A443" s="12" t="s">
        <v>480</v>
      </c>
      <c r="B443" s="13" t="n">
        <v>45961</v>
      </c>
      <c r="C443" s="12" t="s">
        <v>21</v>
      </c>
      <c r="D443" s="12" t="s">
        <v>31</v>
      </c>
      <c r="E443" s="12" t="s">
        <v>37</v>
      </c>
      <c r="F443" s="12" t="s">
        <v>24</v>
      </c>
      <c r="G443" s="12" t="n">
        <v>2</v>
      </c>
      <c r="H443" s="14" t="n">
        <v>933.45</v>
      </c>
      <c r="I443" s="15" t="n">
        <v>0.1</v>
      </c>
      <c r="J443" s="14" t="n">
        <v>50.61</v>
      </c>
    </row>
    <row r="444" customFormat="false" ht="15" hidden="false" customHeight="true" outlineLevel="0" collapsed="false">
      <c r="A444" s="12" t="s">
        <v>481</v>
      </c>
      <c r="B444" s="13" t="n">
        <v>45961</v>
      </c>
      <c r="C444" s="12" t="s">
        <v>26</v>
      </c>
      <c r="D444" s="12" t="s">
        <v>22</v>
      </c>
      <c r="E444" s="12" t="s">
        <v>48</v>
      </c>
      <c r="F444" s="12" t="s">
        <v>24</v>
      </c>
      <c r="G444" s="12" t="n">
        <v>5</v>
      </c>
      <c r="H444" s="14" t="n">
        <v>178.01</v>
      </c>
      <c r="I444" s="15" t="n">
        <v>0.3</v>
      </c>
      <c r="J444" s="14" t="n">
        <v>-23.5</v>
      </c>
    </row>
    <row r="445" customFormat="false" ht="15" hidden="false" customHeight="true" outlineLevel="0" collapsed="false">
      <c r="A445" s="12" t="s">
        <v>482</v>
      </c>
      <c r="B445" s="13" t="n">
        <v>45962</v>
      </c>
      <c r="C445" s="12" t="s">
        <v>26</v>
      </c>
      <c r="D445" s="12" t="s">
        <v>31</v>
      </c>
      <c r="E445" s="12" t="s">
        <v>32</v>
      </c>
      <c r="F445" s="12" t="s">
        <v>29</v>
      </c>
      <c r="G445" s="12" t="n">
        <v>5</v>
      </c>
      <c r="H445" s="14" t="n">
        <v>1830.67</v>
      </c>
      <c r="I445" s="15" t="n">
        <v>0.3</v>
      </c>
      <c r="J445" s="14" t="n">
        <v>-140.46</v>
      </c>
    </row>
    <row r="446" customFormat="false" ht="15" hidden="false" customHeight="true" outlineLevel="0" collapsed="false">
      <c r="A446" s="12" t="s">
        <v>483</v>
      </c>
      <c r="B446" s="13" t="n">
        <v>45963</v>
      </c>
      <c r="C446" s="12" t="s">
        <v>34</v>
      </c>
      <c r="D446" s="12" t="s">
        <v>22</v>
      </c>
      <c r="E446" s="12" t="s">
        <v>48</v>
      </c>
      <c r="F446" s="12" t="s">
        <v>24</v>
      </c>
      <c r="G446" s="12" t="n">
        <v>6</v>
      </c>
      <c r="H446" s="14" t="n">
        <v>115.31</v>
      </c>
      <c r="I446" s="15" t="n">
        <v>0.2</v>
      </c>
      <c r="J446" s="14" t="n">
        <v>8.44</v>
      </c>
    </row>
    <row r="447" customFormat="false" ht="15" hidden="false" customHeight="true" outlineLevel="0" collapsed="false">
      <c r="A447" s="12" t="s">
        <v>484</v>
      </c>
      <c r="B447" s="13" t="n">
        <v>45963</v>
      </c>
      <c r="C447" s="12" t="s">
        <v>34</v>
      </c>
      <c r="D447" s="12" t="s">
        <v>22</v>
      </c>
      <c r="E447" s="12" t="s">
        <v>48</v>
      </c>
      <c r="F447" s="12" t="s">
        <v>35</v>
      </c>
      <c r="G447" s="12" t="n">
        <v>5</v>
      </c>
      <c r="H447" s="14" t="n">
        <v>136.04</v>
      </c>
      <c r="I447" s="15" t="n">
        <v>0.2</v>
      </c>
      <c r="J447" s="14" t="n">
        <v>15.49</v>
      </c>
    </row>
    <row r="448" customFormat="false" ht="15" hidden="false" customHeight="true" outlineLevel="0" collapsed="false">
      <c r="A448" s="12" t="s">
        <v>485</v>
      </c>
      <c r="B448" s="13" t="n">
        <v>45964</v>
      </c>
      <c r="C448" s="12" t="s">
        <v>21</v>
      </c>
      <c r="D448" s="12" t="s">
        <v>22</v>
      </c>
      <c r="E448" s="12" t="s">
        <v>45</v>
      </c>
      <c r="F448" s="12" t="s">
        <v>35</v>
      </c>
      <c r="G448" s="12" t="n">
        <v>7</v>
      </c>
      <c r="H448" s="14" t="n">
        <v>215.01</v>
      </c>
      <c r="I448" s="15" t="n">
        <v>0.4</v>
      </c>
      <c r="J448" s="14" t="n">
        <v>-35.19</v>
      </c>
    </row>
    <row r="449" customFormat="false" ht="15" hidden="false" customHeight="true" outlineLevel="0" collapsed="false">
      <c r="A449" s="12" t="s">
        <v>486</v>
      </c>
      <c r="B449" s="13" t="n">
        <v>45964</v>
      </c>
      <c r="C449" s="12" t="s">
        <v>26</v>
      </c>
      <c r="D449" s="12" t="s">
        <v>22</v>
      </c>
      <c r="E449" s="12" t="s">
        <v>48</v>
      </c>
      <c r="F449" s="12" t="s">
        <v>24</v>
      </c>
      <c r="G449" s="12" t="n">
        <v>5</v>
      </c>
      <c r="H449" s="14" t="n">
        <v>83.84</v>
      </c>
      <c r="I449" s="15" t="n">
        <v>0.4</v>
      </c>
      <c r="J449" s="14" t="n">
        <v>-18.25</v>
      </c>
    </row>
    <row r="450" customFormat="false" ht="15" hidden="false" customHeight="true" outlineLevel="0" collapsed="false">
      <c r="A450" s="12" t="s">
        <v>487</v>
      </c>
      <c r="B450" s="13" t="n">
        <v>45964</v>
      </c>
      <c r="C450" s="12" t="s">
        <v>39</v>
      </c>
      <c r="D450" s="12" t="s">
        <v>22</v>
      </c>
      <c r="E450" s="12" t="s">
        <v>23</v>
      </c>
      <c r="F450" s="12" t="s">
        <v>29</v>
      </c>
      <c r="G450" s="12" t="n">
        <v>4</v>
      </c>
      <c r="H450" s="14" t="n">
        <v>129.97</v>
      </c>
      <c r="I450" s="15" t="n">
        <v>0.4</v>
      </c>
      <c r="J450" s="14" t="n">
        <v>-28.19</v>
      </c>
    </row>
    <row r="451" customFormat="false" ht="15" hidden="false" customHeight="true" outlineLevel="0" collapsed="false">
      <c r="A451" s="12" t="s">
        <v>488</v>
      </c>
      <c r="B451" s="13" t="n">
        <v>45964</v>
      </c>
      <c r="C451" s="12" t="s">
        <v>34</v>
      </c>
      <c r="D451" s="12" t="s">
        <v>27</v>
      </c>
      <c r="E451" s="12" t="s">
        <v>43</v>
      </c>
      <c r="F451" s="12" t="s">
        <v>29</v>
      </c>
      <c r="G451" s="12" t="n">
        <v>5</v>
      </c>
      <c r="H451" s="14" t="n">
        <v>1368.42</v>
      </c>
      <c r="I451" s="15" t="n">
        <v>0.2</v>
      </c>
      <c r="J451" s="14" t="n">
        <v>-132.61</v>
      </c>
    </row>
    <row r="452" customFormat="false" ht="15" hidden="false" customHeight="true" outlineLevel="0" collapsed="false">
      <c r="A452" s="12" t="s">
        <v>489</v>
      </c>
      <c r="B452" s="13" t="n">
        <v>45966</v>
      </c>
      <c r="C452" s="12" t="s">
        <v>34</v>
      </c>
      <c r="D452" s="12" t="s">
        <v>22</v>
      </c>
      <c r="E452" s="12" t="s">
        <v>23</v>
      </c>
      <c r="F452" s="12" t="s">
        <v>35</v>
      </c>
      <c r="G452" s="12" t="n">
        <v>2</v>
      </c>
      <c r="H452" s="14" t="n">
        <v>78.46</v>
      </c>
      <c r="I452" s="15" t="n">
        <v>0.1</v>
      </c>
      <c r="J452" s="14" t="n">
        <v>3.09</v>
      </c>
    </row>
    <row r="453" customFormat="false" ht="15" hidden="false" customHeight="true" outlineLevel="0" collapsed="false">
      <c r="A453" s="12" t="s">
        <v>490</v>
      </c>
      <c r="B453" s="13" t="n">
        <v>45967</v>
      </c>
      <c r="C453" s="12" t="s">
        <v>34</v>
      </c>
      <c r="D453" s="12" t="s">
        <v>22</v>
      </c>
      <c r="E453" s="12" t="s">
        <v>23</v>
      </c>
      <c r="F453" s="12" t="s">
        <v>29</v>
      </c>
      <c r="G453" s="12" t="n">
        <v>7</v>
      </c>
      <c r="H453" s="14" t="n">
        <v>118.1</v>
      </c>
      <c r="I453" s="15" t="n">
        <v>0.4</v>
      </c>
      <c r="J453" s="14" t="n">
        <v>-30.09</v>
      </c>
    </row>
    <row r="454" customFormat="false" ht="15" hidden="false" customHeight="true" outlineLevel="0" collapsed="false">
      <c r="A454" s="12" t="s">
        <v>491</v>
      </c>
      <c r="B454" s="13" t="n">
        <v>45967</v>
      </c>
      <c r="C454" s="12" t="s">
        <v>34</v>
      </c>
      <c r="D454" s="12" t="s">
        <v>31</v>
      </c>
      <c r="E454" s="12" t="s">
        <v>37</v>
      </c>
      <c r="F454" s="12" t="s">
        <v>24</v>
      </c>
      <c r="G454" s="12" t="n">
        <v>4</v>
      </c>
      <c r="H454" s="14" t="n">
        <v>1450.21</v>
      </c>
      <c r="I454" s="15" t="n">
        <v>0</v>
      </c>
      <c r="J454" s="14" t="n">
        <v>267.63</v>
      </c>
    </row>
    <row r="455" customFormat="false" ht="15" hidden="false" customHeight="true" outlineLevel="0" collapsed="false">
      <c r="A455" s="12" t="s">
        <v>492</v>
      </c>
      <c r="B455" s="13" t="n">
        <v>45967</v>
      </c>
      <c r="C455" s="12" t="s">
        <v>26</v>
      </c>
      <c r="D455" s="12" t="s">
        <v>31</v>
      </c>
      <c r="E455" s="12" t="s">
        <v>41</v>
      </c>
      <c r="F455" s="12" t="s">
        <v>24</v>
      </c>
      <c r="G455" s="12" t="n">
        <v>4</v>
      </c>
      <c r="H455" s="14" t="n">
        <v>1415.96</v>
      </c>
      <c r="I455" s="15" t="n">
        <v>0.2</v>
      </c>
      <c r="J455" s="14" t="n">
        <v>-21.16</v>
      </c>
    </row>
    <row r="456" customFormat="false" ht="15" hidden="false" customHeight="true" outlineLevel="0" collapsed="false">
      <c r="A456" s="12" t="s">
        <v>493</v>
      </c>
      <c r="B456" s="13" t="n">
        <v>45968</v>
      </c>
      <c r="C456" s="12" t="s">
        <v>26</v>
      </c>
      <c r="D456" s="12" t="s">
        <v>27</v>
      </c>
      <c r="E456" s="12" t="s">
        <v>51</v>
      </c>
      <c r="F456" s="12" t="s">
        <v>35</v>
      </c>
      <c r="G456" s="12" t="n">
        <v>7</v>
      </c>
      <c r="H456" s="14" t="n">
        <v>1694.7</v>
      </c>
      <c r="I456" s="15" t="n">
        <v>0.1</v>
      </c>
      <c r="J456" s="14" t="n">
        <v>-214.76</v>
      </c>
    </row>
    <row r="457" customFormat="false" ht="15" hidden="false" customHeight="true" outlineLevel="0" collapsed="false">
      <c r="A457" s="12" t="s">
        <v>494</v>
      </c>
      <c r="B457" s="13" t="n">
        <v>45968</v>
      </c>
      <c r="C457" s="12" t="s">
        <v>39</v>
      </c>
      <c r="D457" s="12" t="s">
        <v>31</v>
      </c>
      <c r="E457" s="12" t="s">
        <v>41</v>
      </c>
      <c r="F457" s="12" t="s">
        <v>29</v>
      </c>
      <c r="G457" s="12" t="n">
        <v>7</v>
      </c>
      <c r="H457" s="14" t="n">
        <v>2355.17</v>
      </c>
      <c r="I457" s="15" t="n">
        <v>0.1</v>
      </c>
      <c r="J457" s="14" t="n">
        <v>334.61</v>
      </c>
    </row>
    <row r="458" customFormat="false" ht="15" hidden="false" customHeight="true" outlineLevel="0" collapsed="false">
      <c r="A458" s="12" t="s">
        <v>495</v>
      </c>
      <c r="B458" s="13" t="n">
        <v>45968</v>
      </c>
      <c r="C458" s="12" t="s">
        <v>26</v>
      </c>
      <c r="D458" s="12" t="s">
        <v>31</v>
      </c>
      <c r="E458" s="12" t="s">
        <v>37</v>
      </c>
      <c r="F458" s="12" t="s">
        <v>29</v>
      </c>
      <c r="G458" s="12" t="n">
        <v>2</v>
      </c>
      <c r="H458" s="14" t="n">
        <v>866.32</v>
      </c>
      <c r="I458" s="15" t="n">
        <v>0.2</v>
      </c>
      <c r="J458" s="14" t="n">
        <v>-1.89</v>
      </c>
    </row>
    <row r="459" customFormat="false" ht="15" hidden="false" customHeight="true" outlineLevel="0" collapsed="false">
      <c r="A459" s="12" t="s">
        <v>496</v>
      </c>
      <c r="B459" s="13" t="n">
        <v>45968</v>
      </c>
      <c r="C459" s="12" t="s">
        <v>21</v>
      </c>
      <c r="D459" s="12" t="s">
        <v>22</v>
      </c>
      <c r="E459" s="12" t="s">
        <v>23</v>
      </c>
      <c r="F459" s="12" t="s">
        <v>35</v>
      </c>
      <c r="G459" s="12" t="n">
        <v>7</v>
      </c>
      <c r="H459" s="14" t="n">
        <v>290.02</v>
      </c>
      <c r="I459" s="15" t="n">
        <v>0</v>
      </c>
      <c r="J459" s="14" t="n">
        <v>46.68</v>
      </c>
    </row>
    <row r="460" customFormat="false" ht="15" hidden="false" customHeight="true" outlineLevel="0" collapsed="false">
      <c r="A460" s="12" t="s">
        <v>497</v>
      </c>
      <c r="B460" s="13" t="n">
        <v>45969</v>
      </c>
      <c r="C460" s="12" t="s">
        <v>34</v>
      </c>
      <c r="D460" s="12" t="s">
        <v>22</v>
      </c>
      <c r="E460" s="12" t="s">
        <v>48</v>
      </c>
      <c r="F460" s="12" t="s">
        <v>35</v>
      </c>
      <c r="G460" s="12" t="n">
        <v>6</v>
      </c>
      <c r="H460" s="14" t="n">
        <v>162.75</v>
      </c>
      <c r="I460" s="15" t="n">
        <v>0</v>
      </c>
      <c r="J460" s="14" t="n">
        <v>41.3</v>
      </c>
    </row>
    <row r="461" customFormat="false" ht="15" hidden="false" customHeight="true" outlineLevel="0" collapsed="false">
      <c r="A461" s="12" t="s">
        <v>498</v>
      </c>
      <c r="B461" s="13" t="n">
        <v>45969</v>
      </c>
      <c r="C461" s="12" t="s">
        <v>21</v>
      </c>
      <c r="D461" s="12" t="s">
        <v>31</v>
      </c>
      <c r="E461" s="12" t="s">
        <v>32</v>
      </c>
      <c r="F461" s="12" t="s">
        <v>35</v>
      </c>
      <c r="G461" s="12" t="n">
        <v>2</v>
      </c>
      <c r="H461" s="14" t="n">
        <v>648.76</v>
      </c>
      <c r="I461" s="15" t="n">
        <v>0.1</v>
      </c>
      <c r="J461" s="14" t="n">
        <v>82.39</v>
      </c>
    </row>
    <row r="462" customFormat="false" ht="15" hidden="false" customHeight="true" outlineLevel="0" collapsed="false">
      <c r="A462" s="12" t="s">
        <v>499</v>
      </c>
      <c r="B462" s="13" t="n">
        <v>45970</v>
      </c>
      <c r="C462" s="12" t="s">
        <v>21</v>
      </c>
      <c r="D462" s="12" t="s">
        <v>22</v>
      </c>
      <c r="E462" s="12" t="s">
        <v>23</v>
      </c>
      <c r="F462" s="12" t="s">
        <v>29</v>
      </c>
      <c r="G462" s="12" t="n">
        <v>2</v>
      </c>
      <c r="H462" s="14" t="n">
        <v>58.31</v>
      </c>
      <c r="I462" s="15" t="n">
        <v>0</v>
      </c>
      <c r="J462" s="14" t="n">
        <v>7.23</v>
      </c>
    </row>
    <row r="463" customFormat="false" ht="15" hidden="false" customHeight="true" outlineLevel="0" collapsed="false">
      <c r="A463" s="12" t="s">
        <v>500</v>
      </c>
      <c r="B463" s="13" t="n">
        <v>45970</v>
      </c>
      <c r="C463" s="12" t="s">
        <v>26</v>
      </c>
      <c r="D463" s="12" t="s">
        <v>27</v>
      </c>
      <c r="E463" s="12" t="s">
        <v>51</v>
      </c>
      <c r="F463" s="12" t="s">
        <v>29</v>
      </c>
      <c r="G463" s="12" t="n">
        <v>4</v>
      </c>
      <c r="H463" s="14" t="n">
        <v>1165.83</v>
      </c>
      <c r="I463" s="15" t="n">
        <v>0.2</v>
      </c>
      <c r="J463" s="14" t="n">
        <v>-177.14</v>
      </c>
    </row>
    <row r="464" customFormat="false" ht="15" hidden="false" customHeight="true" outlineLevel="0" collapsed="false">
      <c r="A464" s="12" t="s">
        <v>501</v>
      </c>
      <c r="B464" s="13" t="n">
        <v>45970</v>
      </c>
      <c r="C464" s="12" t="s">
        <v>39</v>
      </c>
      <c r="D464" s="12" t="s">
        <v>22</v>
      </c>
      <c r="E464" s="12" t="s">
        <v>48</v>
      </c>
      <c r="F464" s="12" t="s">
        <v>29</v>
      </c>
      <c r="G464" s="12" t="n">
        <v>3</v>
      </c>
      <c r="H464" s="14" t="n">
        <v>158.53</v>
      </c>
      <c r="I464" s="15" t="n">
        <v>0.1</v>
      </c>
      <c r="J464" s="14" t="n">
        <v>10.03</v>
      </c>
    </row>
    <row r="465" customFormat="false" ht="15" hidden="false" customHeight="true" outlineLevel="0" collapsed="false">
      <c r="A465" s="12" t="s">
        <v>502</v>
      </c>
      <c r="B465" s="13" t="n">
        <v>45971</v>
      </c>
      <c r="C465" s="12" t="s">
        <v>21</v>
      </c>
      <c r="D465" s="12" t="s">
        <v>22</v>
      </c>
      <c r="E465" s="12" t="s">
        <v>48</v>
      </c>
      <c r="F465" s="12" t="s">
        <v>24</v>
      </c>
      <c r="G465" s="12" t="n">
        <v>3</v>
      </c>
      <c r="H465" s="14" t="n">
        <v>150.84</v>
      </c>
      <c r="I465" s="15" t="n">
        <v>0.1</v>
      </c>
      <c r="J465" s="14" t="n">
        <v>15.12</v>
      </c>
    </row>
    <row r="466" customFormat="false" ht="15" hidden="false" customHeight="true" outlineLevel="0" collapsed="false">
      <c r="A466" s="12" t="s">
        <v>503</v>
      </c>
      <c r="B466" s="13" t="n">
        <v>45971</v>
      </c>
      <c r="C466" s="12" t="s">
        <v>39</v>
      </c>
      <c r="D466" s="12" t="s">
        <v>22</v>
      </c>
      <c r="E466" s="12" t="s">
        <v>45</v>
      </c>
      <c r="F466" s="12" t="s">
        <v>35</v>
      </c>
      <c r="G466" s="12" t="n">
        <v>2</v>
      </c>
      <c r="H466" s="14" t="n">
        <v>63.78</v>
      </c>
      <c r="I466" s="15" t="n">
        <v>0.3</v>
      </c>
      <c r="J466" s="14" t="n">
        <v>-8.75</v>
      </c>
    </row>
    <row r="467" customFormat="false" ht="15" hidden="false" customHeight="true" outlineLevel="0" collapsed="false">
      <c r="A467" s="12" t="s">
        <v>504</v>
      </c>
      <c r="B467" s="13" t="n">
        <v>45971</v>
      </c>
      <c r="C467" s="12" t="s">
        <v>21</v>
      </c>
      <c r="D467" s="12" t="s">
        <v>27</v>
      </c>
      <c r="E467" s="12" t="s">
        <v>43</v>
      </c>
      <c r="F467" s="12" t="s">
        <v>29</v>
      </c>
      <c r="G467" s="12" t="n">
        <v>2</v>
      </c>
      <c r="H467" s="14" t="n">
        <v>393.46</v>
      </c>
      <c r="I467" s="15" t="n">
        <v>0.3</v>
      </c>
      <c r="J467" s="14" t="n">
        <v>-118.27</v>
      </c>
    </row>
    <row r="468" customFormat="false" ht="15" hidden="false" customHeight="true" outlineLevel="0" collapsed="false">
      <c r="A468" s="12" t="s">
        <v>505</v>
      </c>
      <c r="B468" s="13" t="n">
        <v>45971</v>
      </c>
      <c r="C468" s="12" t="s">
        <v>39</v>
      </c>
      <c r="D468" s="12" t="s">
        <v>27</v>
      </c>
      <c r="E468" s="12" t="s">
        <v>51</v>
      </c>
      <c r="F468" s="12" t="s">
        <v>29</v>
      </c>
      <c r="G468" s="12" t="n">
        <v>6</v>
      </c>
      <c r="H468" s="14" t="n">
        <v>1997.25</v>
      </c>
      <c r="I468" s="15" t="n">
        <v>0</v>
      </c>
      <c r="J468" s="14" t="n">
        <v>-56.91</v>
      </c>
    </row>
    <row r="469" customFormat="false" ht="15" hidden="false" customHeight="true" outlineLevel="0" collapsed="false">
      <c r="A469" s="12" t="s">
        <v>506</v>
      </c>
      <c r="B469" s="13" t="n">
        <v>45972</v>
      </c>
      <c r="C469" s="12" t="s">
        <v>21</v>
      </c>
      <c r="D469" s="12" t="s">
        <v>27</v>
      </c>
      <c r="E469" s="12" t="s">
        <v>43</v>
      </c>
      <c r="F469" s="12" t="s">
        <v>29</v>
      </c>
      <c r="G469" s="12" t="n">
        <v>7</v>
      </c>
      <c r="H469" s="14" t="n">
        <v>1598.55</v>
      </c>
      <c r="I469" s="15" t="n">
        <v>0</v>
      </c>
      <c r="J469" s="14" t="n">
        <v>36.04</v>
      </c>
    </row>
    <row r="470" customFormat="false" ht="15" hidden="false" customHeight="true" outlineLevel="0" collapsed="false">
      <c r="A470" s="12" t="s">
        <v>507</v>
      </c>
      <c r="B470" s="13" t="n">
        <v>45972</v>
      </c>
      <c r="C470" s="12" t="s">
        <v>39</v>
      </c>
      <c r="D470" s="12" t="s">
        <v>22</v>
      </c>
      <c r="E470" s="12" t="s">
        <v>23</v>
      </c>
      <c r="F470" s="12" t="s">
        <v>29</v>
      </c>
      <c r="G470" s="12" t="n">
        <v>1</v>
      </c>
      <c r="H470" s="14" t="n">
        <v>50.09</v>
      </c>
      <c r="I470" s="15" t="n">
        <v>0.1</v>
      </c>
      <c r="J470" s="14" t="n">
        <v>-0.75</v>
      </c>
    </row>
    <row r="471" customFormat="false" ht="15" hidden="false" customHeight="true" outlineLevel="0" collapsed="false">
      <c r="A471" s="12" t="s">
        <v>508</v>
      </c>
      <c r="B471" s="13" t="n">
        <v>45972</v>
      </c>
      <c r="C471" s="12" t="s">
        <v>21</v>
      </c>
      <c r="D471" s="12" t="s">
        <v>31</v>
      </c>
      <c r="E471" s="12" t="s">
        <v>32</v>
      </c>
      <c r="F471" s="12" t="s">
        <v>24</v>
      </c>
      <c r="G471" s="12" t="n">
        <v>3</v>
      </c>
      <c r="H471" s="14" t="n">
        <v>1232.07</v>
      </c>
      <c r="I471" s="15" t="n">
        <v>0</v>
      </c>
      <c r="J471" s="14" t="n">
        <v>397.62</v>
      </c>
    </row>
    <row r="472" customFormat="false" ht="15" hidden="false" customHeight="true" outlineLevel="0" collapsed="false">
      <c r="A472" s="12" t="s">
        <v>509</v>
      </c>
      <c r="B472" s="13" t="n">
        <v>45972</v>
      </c>
      <c r="C472" s="12" t="s">
        <v>34</v>
      </c>
      <c r="D472" s="12" t="s">
        <v>27</v>
      </c>
      <c r="E472" s="12" t="s">
        <v>28</v>
      </c>
      <c r="F472" s="12" t="s">
        <v>29</v>
      </c>
      <c r="G472" s="12" t="n">
        <v>3</v>
      </c>
      <c r="H472" s="14" t="n">
        <v>627.76</v>
      </c>
      <c r="I472" s="15" t="n">
        <v>0.3</v>
      </c>
      <c r="J472" s="14" t="n">
        <v>-188.32</v>
      </c>
    </row>
    <row r="473" customFormat="false" ht="15" hidden="false" customHeight="true" outlineLevel="0" collapsed="false">
      <c r="A473" s="12" t="s">
        <v>510</v>
      </c>
      <c r="B473" s="13" t="n">
        <v>45972</v>
      </c>
      <c r="C473" s="12" t="s">
        <v>21</v>
      </c>
      <c r="D473" s="12" t="s">
        <v>31</v>
      </c>
      <c r="E473" s="12" t="s">
        <v>32</v>
      </c>
      <c r="F473" s="12" t="s">
        <v>29</v>
      </c>
      <c r="G473" s="12" t="n">
        <v>7</v>
      </c>
      <c r="H473" s="14" t="n">
        <v>2000.01</v>
      </c>
      <c r="I473" s="15" t="n">
        <v>0.2</v>
      </c>
      <c r="J473" s="14" t="n">
        <v>42.34</v>
      </c>
    </row>
    <row r="474" customFormat="false" ht="15" hidden="false" customHeight="true" outlineLevel="0" collapsed="false">
      <c r="A474" s="12" t="s">
        <v>511</v>
      </c>
      <c r="B474" s="13" t="n">
        <v>45972</v>
      </c>
      <c r="C474" s="12" t="s">
        <v>34</v>
      </c>
      <c r="D474" s="12" t="s">
        <v>22</v>
      </c>
      <c r="E474" s="12" t="s">
        <v>45</v>
      </c>
      <c r="F474" s="12" t="s">
        <v>29</v>
      </c>
      <c r="G474" s="12" t="n">
        <v>2</v>
      </c>
      <c r="H474" s="14" t="n">
        <v>42.9</v>
      </c>
      <c r="I474" s="15" t="n">
        <v>0.3</v>
      </c>
      <c r="J474" s="14" t="n">
        <v>2.18</v>
      </c>
    </row>
    <row r="475" customFormat="false" ht="15" hidden="false" customHeight="true" outlineLevel="0" collapsed="false">
      <c r="A475" s="12" t="s">
        <v>512</v>
      </c>
      <c r="B475" s="13" t="n">
        <v>45972</v>
      </c>
      <c r="C475" s="12" t="s">
        <v>26</v>
      </c>
      <c r="D475" s="12" t="s">
        <v>31</v>
      </c>
      <c r="E475" s="12" t="s">
        <v>32</v>
      </c>
      <c r="F475" s="12" t="s">
        <v>29</v>
      </c>
      <c r="G475" s="12" t="n">
        <v>5</v>
      </c>
      <c r="H475" s="14" t="n">
        <v>2394.52</v>
      </c>
      <c r="I475" s="15" t="n">
        <v>0</v>
      </c>
      <c r="J475" s="14" t="n">
        <v>630.73</v>
      </c>
    </row>
    <row r="476" customFormat="false" ht="15" hidden="false" customHeight="true" outlineLevel="0" collapsed="false">
      <c r="A476" s="12" t="s">
        <v>513</v>
      </c>
      <c r="B476" s="13" t="n">
        <v>45973</v>
      </c>
      <c r="C476" s="12" t="s">
        <v>34</v>
      </c>
      <c r="D476" s="12" t="s">
        <v>22</v>
      </c>
      <c r="E476" s="12" t="s">
        <v>45</v>
      </c>
      <c r="F476" s="12" t="s">
        <v>29</v>
      </c>
      <c r="G476" s="12" t="n">
        <v>6</v>
      </c>
      <c r="H476" s="14" t="n">
        <v>138.81</v>
      </c>
      <c r="I476" s="15" t="n">
        <v>0.1</v>
      </c>
      <c r="J476" s="14" t="n">
        <v>2.41</v>
      </c>
    </row>
    <row r="477" customFormat="false" ht="15" hidden="false" customHeight="true" outlineLevel="0" collapsed="false">
      <c r="A477" s="12" t="s">
        <v>514</v>
      </c>
      <c r="B477" s="13" t="n">
        <v>45973</v>
      </c>
      <c r="C477" s="12" t="s">
        <v>26</v>
      </c>
      <c r="D477" s="12" t="s">
        <v>22</v>
      </c>
      <c r="E477" s="12" t="s">
        <v>45</v>
      </c>
      <c r="F477" s="12" t="s">
        <v>29</v>
      </c>
      <c r="G477" s="12" t="n">
        <v>1</v>
      </c>
      <c r="H477" s="14" t="n">
        <v>35.93</v>
      </c>
      <c r="I477" s="15" t="n">
        <v>0</v>
      </c>
      <c r="J477" s="14" t="n">
        <v>5.62</v>
      </c>
    </row>
    <row r="478" customFormat="false" ht="15" hidden="false" customHeight="true" outlineLevel="0" collapsed="false">
      <c r="A478" s="12" t="s">
        <v>515</v>
      </c>
      <c r="B478" s="13" t="n">
        <v>45973</v>
      </c>
      <c r="C478" s="12" t="s">
        <v>21</v>
      </c>
      <c r="D478" s="12" t="s">
        <v>22</v>
      </c>
      <c r="E478" s="12" t="s">
        <v>23</v>
      </c>
      <c r="F478" s="12" t="s">
        <v>24</v>
      </c>
      <c r="G478" s="12" t="n">
        <v>6</v>
      </c>
      <c r="H478" s="14" t="n">
        <v>286.66</v>
      </c>
      <c r="I478" s="15" t="n">
        <v>0.2</v>
      </c>
      <c r="J478" s="14" t="n">
        <v>-16.14</v>
      </c>
    </row>
    <row r="479" customFormat="false" ht="15" hidden="false" customHeight="true" outlineLevel="0" collapsed="false">
      <c r="A479" s="12" t="s">
        <v>516</v>
      </c>
      <c r="B479" s="13" t="n">
        <v>45973</v>
      </c>
      <c r="C479" s="12" t="s">
        <v>26</v>
      </c>
      <c r="D479" s="12" t="s">
        <v>31</v>
      </c>
      <c r="E479" s="12" t="s">
        <v>41</v>
      </c>
      <c r="F479" s="12" t="s">
        <v>35</v>
      </c>
      <c r="G479" s="12" t="n">
        <v>6</v>
      </c>
      <c r="H479" s="14" t="n">
        <v>1553.86</v>
      </c>
      <c r="I479" s="15" t="n">
        <v>0.4</v>
      </c>
      <c r="J479" s="14" t="n">
        <v>-274.04</v>
      </c>
    </row>
    <row r="480" customFormat="false" ht="15" hidden="false" customHeight="true" outlineLevel="0" collapsed="false">
      <c r="A480" s="12" t="s">
        <v>517</v>
      </c>
      <c r="B480" s="13" t="n">
        <v>45973</v>
      </c>
      <c r="C480" s="12" t="s">
        <v>34</v>
      </c>
      <c r="D480" s="12" t="s">
        <v>22</v>
      </c>
      <c r="E480" s="12" t="s">
        <v>23</v>
      </c>
      <c r="F480" s="12" t="s">
        <v>35</v>
      </c>
      <c r="G480" s="12" t="n">
        <v>6</v>
      </c>
      <c r="H480" s="14" t="n">
        <v>221.66</v>
      </c>
      <c r="I480" s="15" t="n">
        <v>0.3</v>
      </c>
      <c r="J480" s="14" t="n">
        <v>-32.76</v>
      </c>
    </row>
    <row r="481" customFormat="false" ht="15" hidden="false" customHeight="true" outlineLevel="0" collapsed="false">
      <c r="A481" s="12" t="s">
        <v>518</v>
      </c>
      <c r="B481" s="13" t="n">
        <v>45973</v>
      </c>
      <c r="C481" s="12" t="s">
        <v>26</v>
      </c>
      <c r="D481" s="12" t="s">
        <v>22</v>
      </c>
      <c r="E481" s="12" t="s">
        <v>23</v>
      </c>
      <c r="F481" s="12" t="s">
        <v>35</v>
      </c>
      <c r="G481" s="12" t="n">
        <v>2</v>
      </c>
      <c r="H481" s="14" t="n">
        <v>53.58</v>
      </c>
      <c r="I481" s="15" t="n">
        <v>0.4</v>
      </c>
      <c r="J481" s="14" t="n">
        <v>-7.98</v>
      </c>
    </row>
    <row r="482" customFormat="false" ht="15" hidden="false" customHeight="true" outlineLevel="0" collapsed="false">
      <c r="A482" s="12" t="s">
        <v>519</v>
      </c>
      <c r="B482" s="13" t="n">
        <v>45974</v>
      </c>
      <c r="C482" s="12" t="s">
        <v>39</v>
      </c>
      <c r="D482" s="12" t="s">
        <v>27</v>
      </c>
      <c r="E482" s="12" t="s">
        <v>28</v>
      </c>
      <c r="F482" s="12" t="s">
        <v>24</v>
      </c>
      <c r="G482" s="12" t="n">
        <v>7</v>
      </c>
      <c r="H482" s="14" t="n">
        <v>1676.86</v>
      </c>
      <c r="I482" s="15" t="n">
        <v>0.3</v>
      </c>
      <c r="J482" s="14" t="n">
        <v>-426</v>
      </c>
    </row>
    <row r="483" customFormat="false" ht="15" hidden="false" customHeight="true" outlineLevel="0" collapsed="false">
      <c r="A483" s="12" t="s">
        <v>520</v>
      </c>
      <c r="B483" s="13" t="n">
        <v>45974</v>
      </c>
      <c r="C483" s="12" t="s">
        <v>21</v>
      </c>
      <c r="D483" s="12" t="s">
        <v>27</v>
      </c>
      <c r="E483" s="12" t="s">
        <v>43</v>
      </c>
      <c r="F483" s="12" t="s">
        <v>24</v>
      </c>
      <c r="G483" s="12" t="n">
        <v>1</v>
      </c>
      <c r="H483" s="14" t="n">
        <v>323.78</v>
      </c>
      <c r="I483" s="15" t="n">
        <v>0</v>
      </c>
      <c r="J483" s="14" t="n">
        <v>-6.41</v>
      </c>
    </row>
    <row r="484" customFormat="false" ht="15" hidden="false" customHeight="true" outlineLevel="0" collapsed="false">
      <c r="A484" s="12" t="s">
        <v>521</v>
      </c>
      <c r="B484" s="13" t="n">
        <v>45976</v>
      </c>
      <c r="C484" s="12" t="s">
        <v>39</v>
      </c>
      <c r="D484" s="12" t="s">
        <v>31</v>
      </c>
      <c r="E484" s="12" t="s">
        <v>41</v>
      </c>
      <c r="F484" s="12" t="s">
        <v>29</v>
      </c>
      <c r="G484" s="12" t="n">
        <v>3</v>
      </c>
      <c r="H484" s="14" t="n">
        <v>935.25</v>
      </c>
      <c r="I484" s="15" t="n">
        <v>0.3</v>
      </c>
      <c r="J484" s="14" t="n">
        <v>-46.32</v>
      </c>
    </row>
    <row r="485" customFormat="false" ht="15" hidden="false" customHeight="true" outlineLevel="0" collapsed="false">
      <c r="A485" s="12" t="s">
        <v>522</v>
      </c>
      <c r="B485" s="13" t="n">
        <v>45976</v>
      </c>
      <c r="C485" s="12" t="s">
        <v>34</v>
      </c>
      <c r="D485" s="12" t="s">
        <v>22</v>
      </c>
      <c r="E485" s="12" t="s">
        <v>48</v>
      </c>
      <c r="F485" s="12" t="s">
        <v>29</v>
      </c>
      <c r="G485" s="12" t="n">
        <v>2</v>
      </c>
      <c r="H485" s="14" t="n">
        <v>114.81</v>
      </c>
      <c r="I485" s="15" t="n">
        <v>0</v>
      </c>
      <c r="J485" s="14" t="n">
        <v>26.22</v>
      </c>
    </row>
    <row r="486" customFormat="false" ht="15" hidden="false" customHeight="true" outlineLevel="0" collapsed="false">
      <c r="A486" s="12" t="s">
        <v>523</v>
      </c>
      <c r="B486" s="13" t="n">
        <v>45977</v>
      </c>
      <c r="C486" s="12" t="s">
        <v>39</v>
      </c>
      <c r="D486" s="12" t="s">
        <v>31</v>
      </c>
      <c r="E486" s="12" t="s">
        <v>37</v>
      </c>
      <c r="F486" s="12" t="s">
        <v>29</v>
      </c>
      <c r="G486" s="12" t="n">
        <v>3</v>
      </c>
      <c r="H486" s="14" t="n">
        <v>822.24</v>
      </c>
      <c r="I486" s="15" t="n">
        <v>0</v>
      </c>
      <c r="J486" s="14" t="n">
        <v>184.17</v>
      </c>
    </row>
    <row r="487" customFormat="false" ht="15" hidden="false" customHeight="true" outlineLevel="0" collapsed="false">
      <c r="A487" s="12" t="s">
        <v>524</v>
      </c>
      <c r="B487" s="13" t="n">
        <v>45977</v>
      </c>
      <c r="C487" s="12" t="s">
        <v>26</v>
      </c>
      <c r="D487" s="12" t="s">
        <v>22</v>
      </c>
      <c r="E487" s="12" t="s">
        <v>23</v>
      </c>
      <c r="F487" s="12" t="s">
        <v>24</v>
      </c>
      <c r="G487" s="12" t="n">
        <v>5</v>
      </c>
      <c r="H487" s="14" t="n">
        <v>175.82</v>
      </c>
      <c r="I487" s="15" t="n">
        <v>0.4</v>
      </c>
      <c r="J487" s="14" t="n">
        <v>-36.33</v>
      </c>
    </row>
    <row r="488" customFormat="false" ht="15" hidden="false" customHeight="true" outlineLevel="0" collapsed="false">
      <c r="A488" s="12" t="s">
        <v>525</v>
      </c>
      <c r="B488" s="13" t="n">
        <v>45977</v>
      </c>
      <c r="C488" s="12" t="s">
        <v>34</v>
      </c>
      <c r="D488" s="12" t="s">
        <v>31</v>
      </c>
      <c r="E488" s="12" t="s">
        <v>37</v>
      </c>
      <c r="F488" s="12" t="s">
        <v>24</v>
      </c>
      <c r="G488" s="12" t="n">
        <v>6</v>
      </c>
      <c r="H488" s="14" t="n">
        <v>1182.64</v>
      </c>
      <c r="I488" s="15" t="n">
        <v>0.3</v>
      </c>
      <c r="J488" s="14" t="n">
        <v>-138.3</v>
      </c>
    </row>
    <row r="489" customFormat="false" ht="15" hidden="false" customHeight="true" outlineLevel="0" collapsed="false">
      <c r="A489" s="12" t="s">
        <v>526</v>
      </c>
      <c r="B489" s="13" t="n">
        <v>45977</v>
      </c>
      <c r="C489" s="12" t="s">
        <v>21</v>
      </c>
      <c r="D489" s="12" t="s">
        <v>27</v>
      </c>
      <c r="E489" s="12" t="s">
        <v>28</v>
      </c>
      <c r="F489" s="12" t="s">
        <v>35</v>
      </c>
      <c r="G489" s="12" t="n">
        <v>3</v>
      </c>
      <c r="H489" s="14" t="n">
        <v>836.42</v>
      </c>
      <c r="I489" s="15" t="n">
        <v>0</v>
      </c>
      <c r="J489" s="14" t="n">
        <v>-61.14</v>
      </c>
    </row>
    <row r="490" customFormat="false" ht="15" hidden="false" customHeight="true" outlineLevel="0" collapsed="false">
      <c r="A490" s="12" t="s">
        <v>527</v>
      </c>
      <c r="B490" s="13" t="n">
        <v>45977</v>
      </c>
      <c r="C490" s="12" t="s">
        <v>34</v>
      </c>
      <c r="D490" s="12" t="s">
        <v>31</v>
      </c>
      <c r="E490" s="12" t="s">
        <v>37</v>
      </c>
      <c r="F490" s="12" t="s">
        <v>24</v>
      </c>
      <c r="G490" s="12" t="n">
        <v>1</v>
      </c>
      <c r="H490" s="14" t="n">
        <v>268.6</v>
      </c>
      <c r="I490" s="15" t="n">
        <v>0.2</v>
      </c>
      <c r="J490" s="14" t="n">
        <v>15.68</v>
      </c>
    </row>
    <row r="491" customFormat="false" ht="15" hidden="false" customHeight="true" outlineLevel="0" collapsed="false">
      <c r="A491" s="12" t="s">
        <v>528</v>
      </c>
      <c r="B491" s="13" t="n">
        <v>45977</v>
      </c>
      <c r="C491" s="12" t="s">
        <v>34</v>
      </c>
      <c r="D491" s="12" t="s">
        <v>27</v>
      </c>
      <c r="E491" s="12" t="s">
        <v>51</v>
      </c>
      <c r="F491" s="12" t="s">
        <v>24</v>
      </c>
      <c r="G491" s="12" t="n">
        <v>4</v>
      </c>
      <c r="H491" s="14" t="n">
        <v>1082.04</v>
      </c>
      <c r="I491" s="15" t="n">
        <v>0.2</v>
      </c>
      <c r="J491" s="14" t="n">
        <v>-147.8</v>
      </c>
    </row>
    <row r="492" customFormat="false" ht="15" hidden="false" customHeight="true" outlineLevel="0" collapsed="false">
      <c r="A492" s="12" t="s">
        <v>529</v>
      </c>
      <c r="B492" s="13" t="n">
        <v>45978</v>
      </c>
      <c r="C492" s="12" t="s">
        <v>39</v>
      </c>
      <c r="D492" s="12" t="s">
        <v>22</v>
      </c>
      <c r="E492" s="12" t="s">
        <v>45</v>
      </c>
      <c r="F492" s="12" t="s">
        <v>29</v>
      </c>
      <c r="G492" s="12" t="n">
        <v>1</v>
      </c>
      <c r="H492" s="14" t="n">
        <v>30.42</v>
      </c>
      <c r="I492" s="15" t="n">
        <v>0</v>
      </c>
      <c r="J492" s="14" t="n">
        <v>5.86</v>
      </c>
    </row>
    <row r="493" customFormat="false" ht="15" hidden="false" customHeight="true" outlineLevel="0" collapsed="false">
      <c r="A493" s="12" t="s">
        <v>530</v>
      </c>
      <c r="B493" s="13" t="n">
        <v>45978</v>
      </c>
      <c r="C493" s="12" t="s">
        <v>26</v>
      </c>
      <c r="D493" s="12" t="s">
        <v>22</v>
      </c>
      <c r="E493" s="12" t="s">
        <v>45</v>
      </c>
      <c r="F493" s="12" t="s">
        <v>35</v>
      </c>
      <c r="G493" s="12" t="n">
        <v>2</v>
      </c>
      <c r="H493" s="14" t="n">
        <v>62.21</v>
      </c>
      <c r="I493" s="15" t="n">
        <v>0.3</v>
      </c>
      <c r="J493" s="14" t="n">
        <v>-8.4</v>
      </c>
    </row>
    <row r="494" customFormat="false" ht="15" hidden="false" customHeight="true" outlineLevel="0" collapsed="false">
      <c r="A494" s="12" t="s">
        <v>531</v>
      </c>
      <c r="B494" s="13" t="n">
        <v>45978</v>
      </c>
      <c r="C494" s="12" t="s">
        <v>34</v>
      </c>
      <c r="D494" s="12" t="s">
        <v>22</v>
      </c>
      <c r="E494" s="12" t="s">
        <v>45</v>
      </c>
      <c r="F494" s="12" t="s">
        <v>29</v>
      </c>
      <c r="G494" s="12" t="n">
        <v>1</v>
      </c>
      <c r="H494" s="14" t="n">
        <v>39.4</v>
      </c>
      <c r="I494" s="15" t="n">
        <v>0</v>
      </c>
      <c r="J494" s="14" t="n">
        <v>9.26</v>
      </c>
    </row>
    <row r="495" customFormat="false" ht="15" hidden="false" customHeight="true" outlineLevel="0" collapsed="false">
      <c r="A495" s="12" t="s">
        <v>532</v>
      </c>
      <c r="B495" s="13" t="n">
        <v>45978</v>
      </c>
      <c r="C495" s="12" t="s">
        <v>26</v>
      </c>
      <c r="D495" s="12" t="s">
        <v>31</v>
      </c>
      <c r="E495" s="12" t="s">
        <v>32</v>
      </c>
      <c r="F495" s="12" t="s">
        <v>24</v>
      </c>
      <c r="G495" s="12" t="n">
        <v>1</v>
      </c>
      <c r="H495" s="14" t="n">
        <v>237.37</v>
      </c>
      <c r="I495" s="15" t="n">
        <v>0.1</v>
      </c>
      <c r="J495" s="14" t="n">
        <v>42.07</v>
      </c>
    </row>
    <row r="496" customFormat="false" ht="15" hidden="false" customHeight="true" outlineLevel="0" collapsed="false">
      <c r="A496" s="12" t="s">
        <v>533</v>
      </c>
      <c r="B496" s="13" t="n">
        <v>45979</v>
      </c>
      <c r="C496" s="12" t="s">
        <v>34</v>
      </c>
      <c r="D496" s="12" t="s">
        <v>22</v>
      </c>
      <c r="E496" s="12" t="s">
        <v>45</v>
      </c>
      <c r="F496" s="12" t="s">
        <v>35</v>
      </c>
      <c r="G496" s="12" t="n">
        <v>2</v>
      </c>
      <c r="H496" s="14" t="n">
        <v>74.36</v>
      </c>
      <c r="I496" s="15" t="n">
        <v>0.2</v>
      </c>
      <c r="J496" s="14" t="n">
        <v>11.9</v>
      </c>
    </row>
    <row r="497" customFormat="false" ht="15" hidden="false" customHeight="true" outlineLevel="0" collapsed="false">
      <c r="A497" s="12" t="s">
        <v>534</v>
      </c>
      <c r="B497" s="13" t="n">
        <v>45980</v>
      </c>
      <c r="C497" s="12" t="s">
        <v>34</v>
      </c>
      <c r="D497" s="12" t="s">
        <v>22</v>
      </c>
      <c r="E497" s="12" t="s">
        <v>48</v>
      </c>
      <c r="F497" s="12" t="s">
        <v>29</v>
      </c>
      <c r="G497" s="12" t="n">
        <v>1</v>
      </c>
      <c r="H497" s="14" t="n">
        <v>43.81</v>
      </c>
      <c r="I497" s="15" t="n">
        <v>0.1</v>
      </c>
      <c r="J497" s="14" t="n">
        <v>4.2</v>
      </c>
    </row>
    <row r="498" customFormat="false" ht="15" hidden="false" customHeight="true" outlineLevel="0" collapsed="false">
      <c r="A498" s="12" t="s">
        <v>535</v>
      </c>
      <c r="B498" s="13" t="n">
        <v>45981</v>
      </c>
      <c r="C498" s="12" t="s">
        <v>26</v>
      </c>
      <c r="D498" s="12" t="s">
        <v>31</v>
      </c>
      <c r="E498" s="12" t="s">
        <v>37</v>
      </c>
      <c r="F498" s="12" t="s">
        <v>24</v>
      </c>
      <c r="G498" s="12" t="n">
        <v>2</v>
      </c>
      <c r="H498" s="14" t="n">
        <v>997.39</v>
      </c>
      <c r="I498" s="15" t="n">
        <v>0</v>
      </c>
      <c r="J498" s="14" t="n">
        <v>182.28</v>
      </c>
    </row>
    <row r="499" customFormat="false" ht="15" hidden="false" customHeight="true" outlineLevel="0" collapsed="false">
      <c r="A499" s="12" t="s">
        <v>536</v>
      </c>
      <c r="B499" s="13" t="n">
        <v>45982</v>
      </c>
      <c r="C499" s="12" t="s">
        <v>26</v>
      </c>
      <c r="D499" s="12" t="s">
        <v>22</v>
      </c>
      <c r="E499" s="12" t="s">
        <v>48</v>
      </c>
      <c r="F499" s="12" t="s">
        <v>29</v>
      </c>
      <c r="G499" s="12" t="n">
        <v>1</v>
      </c>
      <c r="H499" s="14" t="n">
        <v>39.26</v>
      </c>
      <c r="I499" s="15" t="n">
        <v>0</v>
      </c>
      <c r="J499" s="14" t="n">
        <v>6.09</v>
      </c>
    </row>
    <row r="500" customFormat="false" ht="15" hidden="false" customHeight="true" outlineLevel="0" collapsed="false">
      <c r="A500" s="12" t="s">
        <v>537</v>
      </c>
      <c r="B500" s="13" t="n">
        <v>45983</v>
      </c>
      <c r="C500" s="12" t="s">
        <v>26</v>
      </c>
      <c r="D500" s="12" t="s">
        <v>22</v>
      </c>
      <c r="E500" s="12" t="s">
        <v>23</v>
      </c>
      <c r="F500" s="12" t="s">
        <v>29</v>
      </c>
      <c r="G500" s="12" t="n">
        <v>3</v>
      </c>
      <c r="H500" s="14" t="n">
        <v>158.86</v>
      </c>
      <c r="I500" s="15" t="n">
        <v>0</v>
      </c>
      <c r="J500" s="14" t="n">
        <v>28.2</v>
      </c>
    </row>
    <row r="501" customFormat="false" ht="15" hidden="false" customHeight="true" outlineLevel="0" collapsed="false">
      <c r="A501" s="12" t="s">
        <v>538</v>
      </c>
      <c r="B501" s="13" t="n">
        <v>45983</v>
      </c>
      <c r="C501" s="12" t="s">
        <v>34</v>
      </c>
      <c r="D501" s="12" t="s">
        <v>27</v>
      </c>
      <c r="E501" s="12" t="s">
        <v>43</v>
      </c>
      <c r="F501" s="12" t="s">
        <v>29</v>
      </c>
      <c r="G501" s="12" t="n">
        <v>7</v>
      </c>
      <c r="H501" s="14" t="n">
        <v>1324</v>
      </c>
      <c r="I501" s="15" t="n">
        <v>0.2</v>
      </c>
      <c r="J501" s="14" t="n">
        <v>-287.06</v>
      </c>
    </row>
    <row r="502" customFormat="false" ht="15" hidden="false" customHeight="true" outlineLevel="0" collapsed="false">
      <c r="A502" s="12" t="s">
        <v>539</v>
      </c>
      <c r="B502" s="13" t="n">
        <v>45983</v>
      </c>
      <c r="C502" s="12" t="s">
        <v>39</v>
      </c>
      <c r="D502" s="12" t="s">
        <v>22</v>
      </c>
      <c r="E502" s="12" t="s">
        <v>45</v>
      </c>
      <c r="F502" s="12" t="s">
        <v>24</v>
      </c>
      <c r="G502" s="12" t="n">
        <v>4</v>
      </c>
      <c r="H502" s="14" t="n">
        <v>163.25</v>
      </c>
      <c r="I502" s="15" t="n">
        <v>0</v>
      </c>
      <c r="J502" s="14" t="n">
        <v>20.04</v>
      </c>
    </row>
    <row r="503" customFormat="false" ht="15" hidden="false" customHeight="true" outlineLevel="0" collapsed="false">
      <c r="A503" s="12" t="s">
        <v>540</v>
      </c>
      <c r="B503" s="13" t="n">
        <v>45983</v>
      </c>
      <c r="C503" s="12" t="s">
        <v>39</v>
      </c>
      <c r="D503" s="12" t="s">
        <v>27</v>
      </c>
      <c r="E503" s="12" t="s">
        <v>43</v>
      </c>
      <c r="F503" s="12" t="s">
        <v>35</v>
      </c>
      <c r="G503" s="12" t="n">
        <v>5</v>
      </c>
      <c r="H503" s="14" t="n">
        <v>782.26</v>
      </c>
      <c r="I503" s="15" t="n">
        <v>0</v>
      </c>
      <c r="J503" s="14" t="n">
        <v>54.02</v>
      </c>
    </row>
    <row r="504" customFormat="false" ht="15" hidden="false" customHeight="true" outlineLevel="0" collapsed="false">
      <c r="A504" s="12" t="s">
        <v>541</v>
      </c>
      <c r="B504" s="13" t="n">
        <v>45984</v>
      </c>
      <c r="C504" s="12" t="s">
        <v>26</v>
      </c>
      <c r="D504" s="12" t="s">
        <v>27</v>
      </c>
      <c r="E504" s="12" t="s">
        <v>28</v>
      </c>
      <c r="F504" s="12" t="s">
        <v>35</v>
      </c>
      <c r="G504" s="12" t="n">
        <v>3</v>
      </c>
      <c r="H504" s="14" t="n">
        <v>581.07</v>
      </c>
      <c r="I504" s="15" t="n">
        <v>0.4</v>
      </c>
      <c r="J504" s="14" t="n">
        <v>-243.21</v>
      </c>
    </row>
    <row r="505" customFormat="false" ht="15" hidden="false" customHeight="true" outlineLevel="0" collapsed="false">
      <c r="A505" s="12" t="s">
        <v>542</v>
      </c>
      <c r="B505" s="13" t="n">
        <v>45984</v>
      </c>
      <c r="C505" s="12" t="s">
        <v>21</v>
      </c>
      <c r="D505" s="12" t="s">
        <v>31</v>
      </c>
      <c r="E505" s="12" t="s">
        <v>37</v>
      </c>
      <c r="F505" s="12" t="s">
        <v>35</v>
      </c>
      <c r="G505" s="12" t="n">
        <v>3</v>
      </c>
      <c r="H505" s="14" t="n">
        <v>917.55</v>
      </c>
      <c r="I505" s="15" t="n">
        <v>0</v>
      </c>
      <c r="J505" s="14" t="n">
        <v>167.51</v>
      </c>
    </row>
    <row r="506" customFormat="false" ht="15" hidden="false" customHeight="true" outlineLevel="0" collapsed="false">
      <c r="A506" s="12" t="s">
        <v>543</v>
      </c>
      <c r="B506" s="13" t="n">
        <v>45984</v>
      </c>
      <c r="C506" s="12" t="s">
        <v>21</v>
      </c>
      <c r="D506" s="12" t="s">
        <v>22</v>
      </c>
      <c r="E506" s="12" t="s">
        <v>23</v>
      </c>
      <c r="F506" s="12" t="s">
        <v>24</v>
      </c>
      <c r="G506" s="12" t="n">
        <v>4</v>
      </c>
      <c r="H506" s="14" t="n">
        <v>140.79</v>
      </c>
      <c r="I506" s="15" t="n">
        <v>0</v>
      </c>
      <c r="J506" s="14" t="n">
        <v>23.24</v>
      </c>
    </row>
    <row r="507" customFormat="false" ht="15" hidden="false" customHeight="true" outlineLevel="0" collapsed="false">
      <c r="A507" s="12" t="s">
        <v>544</v>
      </c>
      <c r="B507" s="13" t="n">
        <v>45984</v>
      </c>
      <c r="C507" s="12" t="s">
        <v>39</v>
      </c>
      <c r="D507" s="12" t="s">
        <v>27</v>
      </c>
      <c r="E507" s="12" t="s">
        <v>43</v>
      </c>
      <c r="F507" s="12" t="s">
        <v>35</v>
      </c>
      <c r="G507" s="12" t="n">
        <v>6</v>
      </c>
      <c r="H507" s="14" t="n">
        <v>1344.48</v>
      </c>
      <c r="I507" s="15" t="n">
        <v>0.2</v>
      </c>
      <c r="J507" s="14" t="n">
        <v>-191.67</v>
      </c>
    </row>
    <row r="508" customFormat="false" ht="15" hidden="false" customHeight="true" outlineLevel="0" collapsed="false">
      <c r="A508" s="12" t="s">
        <v>545</v>
      </c>
      <c r="B508" s="13" t="n">
        <v>45985</v>
      </c>
      <c r="C508" s="12" t="s">
        <v>34</v>
      </c>
      <c r="D508" s="12" t="s">
        <v>31</v>
      </c>
      <c r="E508" s="12" t="s">
        <v>37</v>
      </c>
      <c r="F508" s="12" t="s">
        <v>35</v>
      </c>
      <c r="G508" s="12" t="n">
        <v>7</v>
      </c>
      <c r="H508" s="14" t="n">
        <v>3116.92</v>
      </c>
      <c r="I508" s="15" t="n">
        <v>0</v>
      </c>
      <c r="J508" s="14" t="n">
        <v>971.23</v>
      </c>
    </row>
    <row r="509" customFormat="false" ht="15" hidden="false" customHeight="true" outlineLevel="0" collapsed="false">
      <c r="A509" s="12" t="s">
        <v>546</v>
      </c>
      <c r="B509" s="13" t="n">
        <v>45985</v>
      </c>
      <c r="C509" s="12" t="s">
        <v>34</v>
      </c>
      <c r="D509" s="12" t="s">
        <v>22</v>
      </c>
      <c r="E509" s="12" t="s">
        <v>48</v>
      </c>
      <c r="F509" s="12" t="s">
        <v>29</v>
      </c>
      <c r="G509" s="12" t="n">
        <v>3</v>
      </c>
      <c r="H509" s="14" t="n">
        <v>117.76</v>
      </c>
      <c r="I509" s="15" t="n">
        <v>0.1</v>
      </c>
      <c r="J509" s="14" t="n">
        <v>14.31</v>
      </c>
    </row>
    <row r="510" customFormat="false" ht="15" hidden="false" customHeight="true" outlineLevel="0" collapsed="false">
      <c r="A510" s="12" t="s">
        <v>547</v>
      </c>
      <c r="B510" s="13" t="n">
        <v>45985</v>
      </c>
      <c r="C510" s="12" t="s">
        <v>21</v>
      </c>
      <c r="D510" s="12" t="s">
        <v>22</v>
      </c>
      <c r="E510" s="12" t="s">
        <v>48</v>
      </c>
      <c r="F510" s="12" t="s">
        <v>29</v>
      </c>
      <c r="G510" s="12" t="n">
        <v>2</v>
      </c>
      <c r="H510" s="14" t="n">
        <v>114.45</v>
      </c>
      <c r="I510" s="15" t="n">
        <v>0</v>
      </c>
      <c r="J510" s="14" t="n">
        <v>27.65</v>
      </c>
    </row>
    <row r="511" customFormat="false" ht="15" hidden="false" customHeight="true" outlineLevel="0" collapsed="false">
      <c r="A511" s="12" t="s">
        <v>548</v>
      </c>
      <c r="B511" s="13" t="n">
        <v>45986</v>
      </c>
      <c r="C511" s="12" t="s">
        <v>21</v>
      </c>
      <c r="D511" s="12" t="s">
        <v>22</v>
      </c>
      <c r="E511" s="12" t="s">
        <v>45</v>
      </c>
      <c r="F511" s="12" t="s">
        <v>29</v>
      </c>
      <c r="G511" s="12" t="n">
        <v>1</v>
      </c>
      <c r="H511" s="14" t="n">
        <v>25.88</v>
      </c>
      <c r="I511" s="15" t="n">
        <v>0.4</v>
      </c>
      <c r="J511" s="14" t="n">
        <v>-6.71</v>
      </c>
    </row>
    <row r="512" customFormat="false" ht="15" hidden="false" customHeight="true" outlineLevel="0" collapsed="false">
      <c r="A512" s="12" t="s">
        <v>549</v>
      </c>
      <c r="B512" s="13" t="n">
        <v>45986</v>
      </c>
      <c r="C512" s="12" t="s">
        <v>34</v>
      </c>
      <c r="D512" s="12" t="s">
        <v>22</v>
      </c>
      <c r="E512" s="12" t="s">
        <v>23</v>
      </c>
      <c r="F512" s="12" t="s">
        <v>29</v>
      </c>
      <c r="G512" s="12" t="n">
        <v>1</v>
      </c>
      <c r="H512" s="14" t="n">
        <v>36.34</v>
      </c>
      <c r="I512" s="15" t="n">
        <v>0</v>
      </c>
      <c r="J512" s="14" t="n">
        <v>12.25</v>
      </c>
    </row>
    <row r="513" customFormat="false" ht="15" hidden="false" customHeight="true" outlineLevel="0" collapsed="false">
      <c r="A513" s="12" t="s">
        <v>550</v>
      </c>
      <c r="B513" s="13" t="n">
        <v>45986</v>
      </c>
      <c r="C513" s="12" t="s">
        <v>39</v>
      </c>
      <c r="D513" s="12" t="s">
        <v>27</v>
      </c>
      <c r="E513" s="12" t="s">
        <v>43</v>
      </c>
      <c r="F513" s="12" t="s">
        <v>29</v>
      </c>
      <c r="G513" s="12" t="n">
        <v>6</v>
      </c>
      <c r="H513" s="14" t="n">
        <v>1790.05</v>
      </c>
      <c r="I513" s="15" t="n">
        <v>0</v>
      </c>
      <c r="J513" s="14" t="n">
        <v>-66.98</v>
      </c>
    </row>
    <row r="514" customFormat="false" ht="15" hidden="false" customHeight="true" outlineLevel="0" collapsed="false">
      <c r="A514" s="12" t="s">
        <v>551</v>
      </c>
      <c r="B514" s="13" t="n">
        <v>45986</v>
      </c>
      <c r="C514" s="12" t="s">
        <v>39</v>
      </c>
      <c r="D514" s="12" t="s">
        <v>31</v>
      </c>
      <c r="E514" s="12" t="s">
        <v>32</v>
      </c>
      <c r="F514" s="12" t="s">
        <v>35</v>
      </c>
      <c r="G514" s="12" t="n">
        <v>2</v>
      </c>
      <c r="H514" s="14" t="n">
        <v>727.27</v>
      </c>
      <c r="I514" s="15" t="n">
        <v>0</v>
      </c>
      <c r="J514" s="14" t="n">
        <v>115.83</v>
      </c>
    </row>
    <row r="515" customFormat="false" ht="15" hidden="false" customHeight="true" outlineLevel="0" collapsed="false">
      <c r="A515" s="12" t="s">
        <v>552</v>
      </c>
      <c r="B515" s="13" t="n">
        <v>45986</v>
      </c>
      <c r="C515" s="12" t="s">
        <v>26</v>
      </c>
      <c r="D515" s="12" t="s">
        <v>31</v>
      </c>
      <c r="E515" s="12" t="s">
        <v>37</v>
      </c>
      <c r="F515" s="12" t="s">
        <v>29</v>
      </c>
      <c r="G515" s="12" t="n">
        <v>1</v>
      </c>
      <c r="H515" s="14" t="n">
        <v>500.7</v>
      </c>
      <c r="I515" s="15" t="n">
        <v>0.2</v>
      </c>
      <c r="J515" s="14" t="n">
        <v>15.46</v>
      </c>
    </row>
    <row r="516" customFormat="false" ht="15" hidden="false" customHeight="true" outlineLevel="0" collapsed="false">
      <c r="A516" s="12" t="s">
        <v>553</v>
      </c>
      <c r="B516" s="13" t="n">
        <v>45987</v>
      </c>
      <c r="C516" s="12" t="s">
        <v>34</v>
      </c>
      <c r="D516" s="12" t="s">
        <v>27</v>
      </c>
      <c r="E516" s="12" t="s">
        <v>51</v>
      </c>
      <c r="F516" s="12" t="s">
        <v>29</v>
      </c>
      <c r="G516" s="12" t="n">
        <v>3</v>
      </c>
      <c r="H516" s="14" t="n">
        <v>573.45</v>
      </c>
      <c r="I516" s="15" t="n">
        <v>0.4</v>
      </c>
      <c r="J516" s="14" t="n">
        <v>-235.46</v>
      </c>
    </row>
    <row r="517" customFormat="false" ht="15" hidden="false" customHeight="true" outlineLevel="0" collapsed="false">
      <c r="A517" s="12" t="s">
        <v>554</v>
      </c>
      <c r="B517" s="13" t="n">
        <v>45987</v>
      </c>
      <c r="C517" s="12" t="s">
        <v>34</v>
      </c>
      <c r="D517" s="12" t="s">
        <v>27</v>
      </c>
      <c r="E517" s="12" t="s">
        <v>51</v>
      </c>
      <c r="F517" s="12" t="s">
        <v>29</v>
      </c>
      <c r="G517" s="12" t="n">
        <v>2</v>
      </c>
      <c r="H517" s="14" t="n">
        <v>341.18</v>
      </c>
      <c r="I517" s="15" t="n">
        <v>0.1</v>
      </c>
      <c r="J517" s="14" t="n">
        <v>-49.5</v>
      </c>
    </row>
    <row r="518" customFormat="false" ht="15" hidden="false" customHeight="true" outlineLevel="0" collapsed="false">
      <c r="A518" s="12" t="s">
        <v>555</v>
      </c>
      <c r="B518" s="13" t="n">
        <v>45987</v>
      </c>
      <c r="C518" s="12" t="s">
        <v>39</v>
      </c>
      <c r="D518" s="12" t="s">
        <v>27</v>
      </c>
      <c r="E518" s="12" t="s">
        <v>28</v>
      </c>
      <c r="F518" s="12" t="s">
        <v>29</v>
      </c>
      <c r="G518" s="12" t="n">
        <v>4</v>
      </c>
      <c r="H518" s="14" t="n">
        <v>488.02</v>
      </c>
      <c r="I518" s="15" t="n">
        <v>0.4</v>
      </c>
      <c r="J518" s="14" t="n">
        <v>-184.08</v>
      </c>
    </row>
    <row r="519" customFormat="false" ht="15" hidden="false" customHeight="true" outlineLevel="0" collapsed="false">
      <c r="A519" s="12" t="s">
        <v>556</v>
      </c>
      <c r="B519" s="13" t="n">
        <v>45988</v>
      </c>
      <c r="C519" s="12" t="s">
        <v>26</v>
      </c>
      <c r="D519" s="12" t="s">
        <v>22</v>
      </c>
      <c r="E519" s="12" t="s">
        <v>45</v>
      </c>
      <c r="F519" s="12" t="s">
        <v>29</v>
      </c>
      <c r="G519" s="12" t="n">
        <v>5</v>
      </c>
      <c r="H519" s="14" t="n">
        <v>202.16</v>
      </c>
      <c r="I519" s="15" t="n">
        <v>0.1</v>
      </c>
      <c r="J519" s="14" t="n">
        <v>-4.18</v>
      </c>
    </row>
    <row r="520" customFormat="false" ht="15" hidden="false" customHeight="true" outlineLevel="0" collapsed="false">
      <c r="A520" s="12" t="s">
        <v>557</v>
      </c>
      <c r="B520" s="13" t="n">
        <v>45989</v>
      </c>
      <c r="C520" s="12" t="s">
        <v>39</v>
      </c>
      <c r="D520" s="12" t="s">
        <v>22</v>
      </c>
      <c r="E520" s="12" t="s">
        <v>45</v>
      </c>
      <c r="F520" s="12" t="s">
        <v>29</v>
      </c>
      <c r="G520" s="12" t="n">
        <v>1</v>
      </c>
      <c r="H520" s="14" t="n">
        <v>53.69</v>
      </c>
      <c r="I520" s="15" t="n">
        <v>0.1</v>
      </c>
      <c r="J520" s="14" t="n">
        <v>2.59</v>
      </c>
    </row>
    <row r="521" customFormat="false" ht="15" hidden="false" customHeight="true" outlineLevel="0" collapsed="false">
      <c r="A521" s="12" t="s">
        <v>558</v>
      </c>
      <c r="B521" s="13" t="n">
        <v>45989</v>
      </c>
      <c r="C521" s="12" t="s">
        <v>39</v>
      </c>
      <c r="D521" s="12" t="s">
        <v>22</v>
      </c>
      <c r="E521" s="12" t="s">
        <v>23</v>
      </c>
      <c r="F521" s="12" t="s">
        <v>29</v>
      </c>
      <c r="G521" s="12" t="n">
        <v>1</v>
      </c>
      <c r="H521" s="14" t="n">
        <v>24.51</v>
      </c>
      <c r="I521" s="15" t="n">
        <v>0</v>
      </c>
      <c r="J521" s="14" t="n">
        <v>2.18</v>
      </c>
    </row>
    <row r="522" customFormat="false" ht="15" hidden="false" customHeight="true" outlineLevel="0" collapsed="false">
      <c r="A522" s="12" t="s">
        <v>559</v>
      </c>
      <c r="B522" s="13" t="n">
        <v>45989</v>
      </c>
      <c r="C522" s="12" t="s">
        <v>39</v>
      </c>
      <c r="D522" s="12" t="s">
        <v>22</v>
      </c>
      <c r="E522" s="12" t="s">
        <v>23</v>
      </c>
      <c r="F522" s="12" t="s">
        <v>24</v>
      </c>
      <c r="G522" s="12" t="n">
        <v>3</v>
      </c>
      <c r="H522" s="14" t="n">
        <v>66.34</v>
      </c>
      <c r="I522" s="15" t="n">
        <v>0.4</v>
      </c>
      <c r="J522" s="14" t="n">
        <v>-4.57</v>
      </c>
    </row>
    <row r="523" customFormat="false" ht="15" hidden="false" customHeight="true" outlineLevel="0" collapsed="false">
      <c r="A523" s="12" t="s">
        <v>560</v>
      </c>
      <c r="B523" s="13" t="n">
        <v>45989</v>
      </c>
      <c r="C523" s="12" t="s">
        <v>39</v>
      </c>
      <c r="D523" s="12" t="s">
        <v>22</v>
      </c>
      <c r="E523" s="12" t="s">
        <v>23</v>
      </c>
      <c r="F523" s="12" t="s">
        <v>29</v>
      </c>
      <c r="G523" s="12" t="n">
        <v>6</v>
      </c>
      <c r="H523" s="14" t="n">
        <v>178.9</v>
      </c>
      <c r="I523" s="15" t="n">
        <v>0</v>
      </c>
      <c r="J523" s="14" t="n">
        <v>24.59</v>
      </c>
    </row>
    <row r="524" customFormat="false" ht="15" hidden="false" customHeight="true" outlineLevel="0" collapsed="false">
      <c r="A524" s="12" t="s">
        <v>561</v>
      </c>
      <c r="B524" s="13" t="n">
        <v>45989</v>
      </c>
      <c r="C524" s="12" t="s">
        <v>21</v>
      </c>
      <c r="D524" s="12" t="s">
        <v>22</v>
      </c>
      <c r="E524" s="12" t="s">
        <v>23</v>
      </c>
      <c r="F524" s="12" t="s">
        <v>29</v>
      </c>
      <c r="G524" s="12" t="n">
        <v>2</v>
      </c>
      <c r="H524" s="14" t="n">
        <v>88.69</v>
      </c>
      <c r="I524" s="15" t="n">
        <v>0</v>
      </c>
      <c r="J524" s="14" t="n">
        <v>15.13</v>
      </c>
    </row>
    <row r="525" customFormat="false" ht="15" hidden="false" customHeight="true" outlineLevel="0" collapsed="false">
      <c r="A525" s="12" t="s">
        <v>562</v>
      </c>
      <c r="B525" s="13" t="n">
        <v>45989</v>
      </c>
      <c r="C525" s="12" t="s">
        <v>39</v>
      </c>
      <c r="D525" s="12" t="s">
        <v>22</v>
      </c>
      <c r="E525" s="12" t="s">
        <v>48</v>
      </c>
      <c r="F525" s="12" t="s">
        <v>24</v>
      </c>
      <c r="G525" s="12" t="n">
        <v>7</v>
      </c>
      <c r="H525" s="14" t="n">
        <v>216.73</v>
      </c>
      <c r="I525" s="15" t="n">
        <v>0</v>
      </c>
      <c r="J525" s="14" t="n">
        <v>25.4</v>
      </c>
    </row>
    <row r="526" customFormat="false" ht="15" hidden="false" customHeight="true" outlineLevel="0" collapsed="false">
      <c r="A526" s="12" t="s">
        <v>563</v>
      </c>
      <c r="B526" s="13" t="n">
        <v>45990</v>
      </c>
      <c r="C526" s="12" t="s">
        <v>21</v>
      </c>
      <c r="D526" s="12" t="s">
        <v>31</v>
      </c>
      <c r="E526" s="12" t="s">
        <v>41</v>
      </c>
      <c r="F526" s="12" t="s">
        <v>24</v>
      </c>
      <c r="G526" s="12" t="n">
        <v>6</v>
      </c>
      <c r="H526" s="14" t="n">
        <v>2412.4</v>
      </c>
      <c r="I526" s="15" t="n">
        <v>0.2</v>
      </c>
      <c r="J526" s="14" t="n">
        <v>153.15</v>
      </c>
    </row>
    <row r="527" customFormat="false" ht="15" hidden="false" customHeight="true" outlineLevel="0" collapsed="false">
      <c r="A527" s="12" t="s">
        <v>564</v>
      </c>
      <c r="B527" s="13" t="n">
        <v>45990</v>
      </c>
      <c r="C527" s="12" t="s">
        <v>34</v>
      </c>
      <c r="D527" s="12" t="s">
        <v>22</v>
      </c>
      <c r="E527" s="12" t="s">
        <v>48</v>
      </c>
      <c r="F527" s="12" t="s">
        <v>24</v>
      </c>
      <c r="G527" s="12" t="n">
        <v>2</v>
      </c>
      <c r="H527" s="14" t="n">
        <v>51.24</v>
      </c>
      <c r="I527" s="15" t="n">
        <v>0.1</v>
      </c>
      <c r="J527" s="14" t="n">
        <v>6.14</v>
      </c>
    </row>
    <row r="528" customFormat="false" ht="15" hidden="false" customHeight="true" outlineLevel="0" collapsed="false">
      <c r="A528" s="12" t="s">
        <v>565</v>
      </c>
      <c r="B528" s="13" t="n">
        <v>45991</v>
      </c>
      <c r="C528" s="12" t="s">
        <v>34</v>
      </c>
      <c r="D528" s="12" t="s">
        <v>22</v>
      </c>
      <c r="E528" s="12" t="s">
        <v>23</v>
      </c>
      <c r="F528" s="12" t="s">
        <v>35</v>
      </c>
      <c r="G528" s="12" t="n">
        <v>6</v>
      </c>
      <c r="H528" s="14" t="n">
        <v>215.6</v>
      </c>
      <c r="I528" s="15" t="n">
        <v>0.1</v>
      </c>
      <c r="J528" s="14" t="n">
        <v>23.28</v>
      </c>
    </row>
    <row r="529" customFormat="false" ht="15" hidden="false" customHeight="true" outlineLevel="0" collapsed="false">
      <c r="A529" s="12" t="s">
        <v>566</v>
      </c>
      <c r="B529" s="13" t="n">
        <v>45991</v>
      </c>
      <c r="C529" s="12" t="s">
        <v>34</v>
      </c>
      <c r="D529" s="12" t="s">
        <v>31</v>
      </c>
      <c r="E529" s="12" t="s">
        <v>41</v>
      </c>
      <c r="F529" s="12" t="s">
        <v>29</v>
      </c>
      <c r="G529" s="12" t="n">
        <v>5</v>
      </c>
      <c r="H529" s="14" t="n">
        <v>1761</v>
      </c>
      <c r="I529" s="15" t="n">
        <v>0</v>
      </c>
      <c r="J529" s="14" t="n">
        <v>527.26</v>
      </c>
    </row>
    <row r="530" customFormat="false" ht="15" hidden="false" customHeight="true" outlineLevel="0" collapsed="false">
      <c r="A530" s="12" t="s">
        <v>567</v>
      </c>
      <c r="B530" s="13" t="n">
        <v>45991</v>
      </c>
      <c r="C530" s="12" t="s">
        <v>26</v>
      </c>
      <c r="D530" s="12" t="s">
        <v>22</v>
      </c>
      <c r="E530" s="12" t="s">
        <v>48</v>
      </c>
      <c r="F530" s="12" t="s">
        <v>24</v>
      </c>
      <c r="G530" s="12" t="n">
        <v>7</v>
      </c>
      <c r="H530" s="14" t="n">
        <v>224.84</v>
      </c>
      <c r="I530" s="15" t="n">
        <v>0.2</v>
      </c>
      <c r="J530" s="14" t="n">
        <v>6.07</v>
      </c>
    </row>
    <row r="531" customFormat="false" ht="15" hidden="false" customHeight="true" outlineLevel="0" collapsed="false">
      <c r="A531" s="12" t="s">
        <v>568</v>
      </c>
      <c r="B531" s="13" t="n">
        <v>45991</v>
      </c>
      <c r="C531" s="12" t="s">
        <v>21</v>
      </c>
      <c r="D531" s="12" t="s">
        <v>22</v>
      </c>
      <c r="E531" s="12" t="s">
        <v>23</v>
      </c>
      <c r="F531" s="12" t="s">
        <v>29</v>
      </c>
      <c r="G531" s="12" t="n">
        <v>3</v>
      </c>
      <c r="H531" s="14" t="n">
        <v>123.49</v>
      </c>
      <c r="I531" s="15" t="n">
        <v>0.3</v>
      </c>
      <c r="J531" s="14" t="n">
        <v>-18.8</v>
      </c>
    </row>
    <row r="532" customFormat="false" ht="15" hidden="false" customHeight="true" outlineLevel="0" collapsed="false">
      <c r="A532" s="12" t="s">
        <v>569</v>
      </c>
      <c r="B532" s="13" t="n">
        <v>45992</v>
      </c>
      <c r="C532" s="12" t="s">
        <v>39</v>
      </c>
      <c r="D532" s="12" t="s">
        <v>27</v>
      </c>
      <c r="E532" s="12" t="s">
        <v>43</v>
      </c>
      <c r="F532" s="12" t="s">
        <v>24</v>
      </c>
      <c r="G532" s="12" t="n">
        <v>5</v>
      </c>
      <c r="H532" s="14" t="n">
        <v>776.4</v>
      </c>
      <c r="I532" s="15" t="n">
        <v>0.3</v>
      </c>
      <c r="J532" s="14" t="n">
        <v>-251.1</v>
      </c>
    </row>
    <row r="533" customFormat="false" ht="15" hidden="false" customHeight="true" outlineLevel="0" collapsed="false">
      <c r="A533" s="12" t="s">
        <v>570</v>
      </c>
      <c r="B533" s="13" t="n">
        <v>45993</v>
      </c>
      <c r="C533" s="12" t="s">
        <v>34</v>
      </c>
      <c r="D533" s="12" t="s">
        <v>27</v>
      </c>
      <c r="E533" s="12" t="s">
        <v>28</v>
      </c>
      <c r="F533" s="12" t="s">
        <v>24</v>
      </c>
      <c r="G533" s="12" t="n">
        <v>5</v>
      </c>
      <c r="H533" s="14" t="n">
        <v>984.54</v>
      </c>
      <c r="I533" s="15" t="n">
        <v>0</v>
      </c>
      <c r="J533" s="14" t="n">
        <v>25.96</v>
      </c>
    </row>
    <row r="534" customFormat="false" ht="15" hidden="false" customHeight="true" outlineLevel="0" collapsed="false">
      <c r="A534" s="12" t="s">
        <v>571</v>
      </c>
      <c r="B534" s="13" t="n">
        <v>45993</v>
      </c>
      <c r="C534" s="12" t="s">
        <v>34</v>
      </c>
      <c r="D534" s="12" t="s">
        <v>22</v>
      </c>
      <c r="E534" s="12" t="s">
        <v>48</v>
      </c>
      <c r="F534" s="12" t="s">
        <v>29</v>
      </c>
      <c r="G534" s="12" t="n">
        <v>5</v>
      </c>
      <c r="H534" s="14" t="n">
        <v>201.12</v>
      </c>
      <c r="I534" s="15" t="n">
        <v>0</v>
      </c>
      <c r="J534" s="14" t="n">
        <v>44.65</v>
      </c>
    </row>
    <row r="535" customFormat="false" ht="15" hidden="false" customHeight="true" outlineLevel="0" collapsed="false">
      <c r="A535" s="12" t="s">
        <v>572</v>
      </c>
      <c r="B535" s="13" t="n">
        <v>45995</v>
      </c>
      <c r="C535" s="12" t="s">
        <v>34</v>
      </c>
      <c r="D535" s="12" t="s">
        <v>22</v>
      </c>
      <c r="E535" s="12" t="s">
        <v>48</v>
      </c>
      <c r="F535" s="12" t="s">
        <v>24</v>
      </c>
      <c r="G535" s="12" t="n">
        <v>7</v>
      </c>
      <c r="H535" s="14" t="n">
        <v>182.34</v>
      </c>
      <c r="I535" s="15" t="n">
        <v>0.4</v>
      </c>
      <c r="J535" s="14" t="n">
        <v>-35.47</v>
      </c>
    </row>
    <row r="536" customFormat="false" ht="15" hidden="false" customHeight="true" outlineLevel="0" collapsed="false">
      <c r="A536" s="12" t="s">
        <v>573</v>
      </c>
      <c r="B536" s="13" t="n">
        <v>45995</v>
      </c>
      <c r="C536" s="12" t="s">
        <v>39</v>
      </c>
      <c r="D536" s="12" t="s">
        <v>27</v>
      </c>
      <c r="E536" s="12" t="s">
        <v>28</v>
      </c>
      <c r="F536" s="12" t="s">
        <v>24</v>
      </c>
      <c r="G536" s="12" t="n">
        <v>2</v>
      </c>
      <c r="H536" s="14" t="n">
        <v>632.89</v>
      </c>
      <c r="I536" s="15" t="n">
        <v>0.1</v>
      </c>
      <c r="J536" s="14" t="n">
        <v>-61.61</v>
      </c>
    </row>
    <row r="537" customFormat="false" ht="15" hidden="false" customHeight="true" outlineLevel="0" collapsed="false">
      <c r="A537" s="12" t="s">
        <v>574</v>
      </c>
      <c r="B537" s="13" t="n">
        <v>45996</v>
      </c>
      <c r="C537" s="12" t="s">
        <v>34</v>
      </c>
      <c r="D537" s="12" t="s">
        <v>22</v>
      </c>
      <c r="E537" s="12" t="s">
        <v>45</v>
      </c>
      <c r="F537" s="12" t="s">
        <v>24</v>
      </c>
      <c r="G537" s="12" t="n">
        <v>3</v>
      </c>
      <c r="H537" s="14" t="n">
        <v>135.81</v>
      </c>
      <c r="I537" s="15" t="n">
        <v>0.2</v>
      </c>
      <c r="J537" s="14" t="n">
        <v>0.56</v>
      </c>
    </row>
    <row r="538" customFormat="false" ht="15" hidden="false" customHeight="true" outlineLevel="0" collapsed="false">
      <c r="A538" s="12" t="s">
        <v>575</v>
      </c>
      <c r="B538" s="13" t="n">
        <v>45997</v>
      </c>
      <c r="C538" s="12" t="s">
        <v>34</v>
      </c>
      <c r="D538" s="12" t="s">
        <v>22</v>
      </c>
      <c r="E538" s="12" t="s">
        <v>48</v>
      </c>
      <c r="F538" s="12" t="s">
        <v>35</v>
      </c>
      <c r="G538" s="12" t="n">
        <v>4</v>
      </c>
      <c r="H538" s="14" t="n">
        <v>65.85</v>
      </c>
      <c r="I538" s="15" t="n">
        <v>0.4</v>
      </c>
      <c r="J538" s="14" t="n">
        <v>-4.86</v>
      </c>
    </row>
    <row r="539" customFormat="false" ht="15" hidden="false" customHeight="true" outlineLevel="0" collapsed="false">
      <c r="A539" s="12" t="s">
        <v>576</v>
      </c>
      <c r="B539" s="13" t="n">
        <v>45997</v>
      </c>
      <c r="C539" s="12" t="s">
        <v>34</v>
      </c>
      <c r="D539" s="12" t="s">
        <v>31</v>
      </c>
      <c r="E539" s="12" t="s">
        <v>41</v>
      </c>
      <c r="F539" s="12" t="s">
        <v>29</v>
      </c>
      <c r="G539" s="12" t="n">
        <v>5</v>
      </c>
      <c r="H539" s="14" t="n">
        <v>1901.78</v>
      </c>
      <c r="I539" s="15" t="n">
        <v>0.3</v>
      </c>
      <c r="J539" s="14" t="n">
        <v>-37.54</v>
      </c>
    </row>
    <row r="540" customFormat="false" ht="15" hidden="false" customHeight="true" outlineLevel="0" collapsed="false">
      <c r="A540" s="12" t="s">
        <v>577</v>
      </c>
      <c r="B540" s="13" t="n">
        <v>45998</v>
      </c>
      <c r="C540" s="12" t="s">
        <v>34</v>
      </c>
      <c r="D540" s="12" t="s">
        <v>31</v>
      </c>
      <c r="E540" s="12" t="s">
        <v>32</v>
      </c>
      <c r="F540" s="12" t="s">
        <v>35</v>
      </c>
      <c r="G540" s="12" t="n">
        <v>2</v>
      </c>
      <c r="H540" s="14" t="n">
        <v>669.96</v>
      </c>
      <c r="I540" s="15" t="n">
        <v>0.1</v>
      </c>
      <c r="J540" s="14" t="n">
        <v>85.63</v>
      </c>
    </row>
    <row r="541" customFormat="false" ht="15" hidden="false" customHeight="true" outlineLevel="0" collapsed="false">
      <c r="A541" s="12" t="s">
        <v>578</v>
      </c>
      <c r="B541" s="13" t="n">
        <v>45999</v>
      </c>
      <c r="C541" s="12" t="s">
        <v>21</v>
      </c>
      <c r="D541" s="12" t="s">
        <v>31</v>
      </c>
      <c r="E541" s="12" t="s">
        <v>37</v>
      </c>
      <c r="F541" s="12" t="s">
        <v>29</v>
      </c>
      <c r="G541" s="12" t="n">
        <v>3</v>
      </c>
      <c r="H541" s="14" t="n">
        <v>557.41</v>
      </c>
      <c r="I541" s="15" t="n">
        <v>0.4</v>
      </c>
      <c r="J541" s="14" t="n">
        <v>-61.67</v>
      </c>
    </row>
    <row r="542" customFormat="false" ht="15" hidden="false" customHeight="true" outlineLevel="0" collapsed="false">
      <c r="A542" s="12" t="s">
        <v>579</v>
      </c>
      <c r="B542" s="13" t="n">
        <v>45999</v>
      </c>
      <c r="C542" s="12" t="s">
        <v>21</v>
      </c>
      <c r="D542" s="12" t="s">
        <v>22</v>
      </c>
      <c r="E542" s="12" t="s">
        <v>48</v>
      </c>
      <c r="F542" s="12" t="s">
        <v>24</v>
      </c>
      <c r="G542" s="12" t="n">
        <v>6</v>
      </c>
      <c r="H542" s="14" t="n">
        <v>279.39</v>
      </c>
      <c r="I542" s="15" t="n">
        <v>0</v>
      </c>
      <c r="J542" s="14" t="n">
        <v>45.07</v>
      </c>
    </row>
    <row r="543" customFormat="false" ht="15" hidden="false" customHeight="true" outlineLevel="0" collapsed="false">
      <c r="A543" s="12" t="s">
        <v>580</v>
      </c>
      <c r="B543" s="13" t="n">
        <v>45999</v>
      </c>
      <c r="C543" s="12" t="s">
        <v>39</v>
      </c>
      <c r="D543" s="12" t="s">
        <v>22</v>
      </c>
      <c r="E543" s="12" t="s">
        <v>48</v>
      </c>
      <c r="F543" s="12" t="s">
        <v>24</v>
      </c>
      <c r="G543" s="12" t="n">
        <v>1</v>
      </c>
      <c r="H543" s="14" t="n">
        <v>34.67</v>
      </c>
      <c r="I543" s="15" t="n">
        <v>0.3</v>
      </c>
      <c r="J543" s="14" t="n">
        <v>-3.73</v>
      </c>
    </row>
    <row r="544" customFormat="false" ht="15" hidden="false" customHeight="true" outlineLevel="0" collapsed="false">
      <c r="A544" s="12" t="s">
        <v>581</v>
      </c>
      <c r="B544" s="13" t="n">
        <v>46000</v>
      </c>
      <c r="C544" s="12" t="s">
        <v>39</v>
      </c>
      <c r="D544" s="12" t="s">
        <v>22</v>
      </c>
      <c r="E544" s="12" t="s">
        <v>45</v>
      </c>
      <c r="F544" s="12" t="s">
        <v>29</v>
      </c>
      <c r="G544" s="12" t="n">
        <v>4</v>
      </c>
      <c r="H544" s="14" t="n">
        <v>164.32</v>
      </c>
      <c r="I544" s="15" t="n">
        <v>0</v>
      </c>
      <c r="J544" s="14" t="n">
        <v>31.21</v>
      </c>
    </row>
    <row r="545" customFormat="false" ht="15" hidden="false" customHeight="true" outlineLevel="0" collapsed="false">
      <c r="A545" s="12" t="s">
        <v>582</v>
      </c>
      <c r="B545" s="13" t="n">
        <v>46000</v>
      </c>
      <c r="C545" s="12" t="s">
        <v>34</v>
      </c>
      <c r="D545" s="12" t="s">
        <v>22</v>
      </c>
      <c r="E545" s="12" t="s">
        <v>45</v>
      </c>
      <c r="F545" s="12" t="s">
        <v>29</v>
      </c>
      <c r="G545" s="12" t="n">
        <v>7</v>
      </c>
      <c r="H545" s="14" t="n">
        <v>303.53</v>
      </c>
      <c r="I545" s="15" t="n">
        <v>0</v>
      </c>
      <c r="J545" s="14" t="n">
        <v>73.85</v>
      </c>
    </row>
    <row r="546" customFormat="false" ht="15" hidden="false" customHeight="true" outlineLevel="0" collapsed="false">
      <c r="A546" s="12" t="s">
        <v>583</v>
      </c>
      <c r="B546" s="13" t="n">
        <v>46000</v>
      </c>
      <c r="C546" s="12" t="s">
        <v>39</v>
      </c>
      <c r="D546" s="12" t="s">
        <v>22</v>
      </c>
      <c r="E546" s="12" t="s">
        <v>23</v>
      </c>
      <c r="F546" s="12" t="s">
        <v>35</v>
      </c>
      <c r="G546" s="12" t="n">
        <v>5</v>
      </c>
      <c r="H546" s="14" t="n">
        <v>106.24</v>
      </c>
      <c r="I546" s="15" t="n">
        <v>0.2</v>
      </c>
      <c r="J546" s="14" t="n">
        <v>-4.4</v>
      </c>
    </row>
    <row r="547" customFormat="false" ht="15" hidden="false" customHeight="true" outlineLevel="0" collapsed="false">
      <c r="A547" s="12" t="s">
        <v>584</v>
      </c>
      <c r="B547" s="13" t="n">
        <v>46001</v>
      </c>
      <c r="C547" s="12" t="s">
        <v>39</v>
      </c>
      <c r="D547" s="12" t="s">
        <v>22</v>
      </c>
      <c r="E547" s="12" t="s">
        <v>48</v>
      </c>
      <c r="F547" s="12" t="s">
        <v>35</v>
      </c>
      <c r="G547" s="12" t="n">
        <v>3</v>
      </c>
      <c r="H547" s="14" t="n">
        <v>140.99</v>
      </c>
      <c r="I547" s="15" t="n">
        <v>0</v>
      </c>
      <c r="J547" s="14" t="n">
        <v>8.35</v>
      </c>
    </row>
    <row r="548" customFormat="false" ht="15" hidden="false" customHeight="true" outlineLevel="0" collapsed="false">
      <c r="A548" s="12" t="s">
        <v>585</v>
      </c>
      <c r="B548" s="13" t="n">
        <v>46001</v>
      </c>
      <c r="C548" s="12" t="s">
        <v>34</v>
      </c>
      <c r="D548" s="12" t="s">
        <v>27</v>
      </c>
      <c r="E548" s="12" t="s">
        <v>28</v>
      </c>
      <c r="F548" s="12" t="s">
        <v>29</v>
      </c>
      <c r="G548" s="12" t="n">
        <v>3</v>
      </c>
      <c r="H548" s="14" t="n">
        <v>1143.33</v>
      </c>
      <c r="I548" s="15" t="n">
        <v>0</v>
      </c>
      <c r="J548" s="14" t="n">
        <v>-137.9</v>
      </c>
    </row>
    <row r="549" customFormat="false" ht="15" hidden="false" customHeight="true" outlineLevel="0" collapsed="false">
      <c r="A549" s="12" t="s">
        <v>586</v>
      </c>
      <c r="B549" s="13" t="n">
        <v>46002</v>
      </c>
      <c r="C549" s="12" t="s">
        <v>26</v>
      </c>
      <c r="D549" s="12" t="s">
        <v>22</v>
      </c>
      <c r="E549" s="12" t="s">
        <v>23</v>
      </c>
      <c r="F549" s="12" t="s">
        <v>24</v>
      </c>
      <c r="G549" s="12" t="n">
        <v>3</v>
      </c>
      <c r="H549" s="14" t="n">
        <v>142.78</v>
      </c>
      <c r="I549" s="15" t="n">
        <v>0.2</v>
      </c>
      <c r="J549" s="14" t="n">
        <v>-5.16</v>
      </c>
    </row>
    <row r="550" customFormat="false" ht="15" hidden="false" customHeight="true" outlineLevel="0" collapsed="false">
      <c r="A550" s="12" t="s">
        <v>587</v>
      </c>
      <c r="B550" s="13" t="n">
        <v>46002</v>
      </c>
      <c r="C550" s="12" t="s">
        <v>39</v>
      </c>
      <c r="D550" s="12" t="s">
        <v>31</v>
      </c>
      <c r="E550" s="12" t="s">
        <v>32</v>
      </c>
      <c r="F550" s="12" t="s">
        <v>24</v>
      </c>
      <c r="G550" s="12" t="n">
        <v>6</v>
      </c>
      <c r="H550" s="14" t="n">
        <v>2349.38</v>
      </c>
      <c r="I550" s="15" t="n">
        <v>0.1</v>
      </c>
      <c r="J550" s="14" t="n">
        <v>394.07</v>
      </c>
    </row>
    <row r="551" customFormat="false" ht="15" hidden="false" customHeight="true" outlineLevel="0" collapsed="false">
      <c r="A551" s="12" t="s">
        <v>588</v>
      </c>
      <c r="B551" s="13" t="n">
        <v>46002</v>
      </c>
      <c r="C551" s="12" t="s">
        <v>39</v>
      </c>
      <c r="D551" s="12" t="s">
        <v>27</v>
      </c>
      <c r="E551" s="12" t="s">
        <v>28</v>
      </c>
      <c r="F551" s="12" t="s">
        <v>29</v>
      </c>
      <c r="G551" s="12" t="n">
        <v>7</v>
      </c>
      <c r="H551" s="14" t="n">
        <v>1101.87</v>
      </c>
      <c r="I551" s="15" t="n">
        <v>0.1</v>
      </c>
      <c r="J551" s="14" t="n">
        <v>-218.42</v>
      </c>
    </row>
    <row r="552" customFormat="false" ht="15" hidden="false" customHeight="true" outlineLevel="0" collapsed="false">
      <c r="A552" s="12" t="s">
        <v>589</v>
      </c>
      <c r="B552" s="13" t="n">
        <v>46003</v>
      </c>
      <c r="C552" s="12" t="s">
        <v>39</v>
      </c>
      <c r="D552" s="12" t="s">
        <v>22</v>
      </c>
      <c r="E552" s="12" t="s">
        <v>48</v>
      </c>
      <c r="F552" s="12" t="s">
        <v>24</v>
      </c>
      <c r="G552" s="12" t="n">
        <v>6</v>
      </c>
      <c r="H552" s="14" t="n">
        <v>169.38</v>
      </c>
      <c r="I552" s="15" t="n">
        <v>0</v>
      </c>
      <c r="J552" s="14" t="n">
        <v>22.2</v>
      </c>
    </row>
    <row r="553" customFormat="false" ht="15" hidden="false" customHeight="true" outlineLevel="0" collapsed="false">
      <c r="A553" s="12" t="s">
        <v>590</v>
      </c>
      <c r="B553" s="13" t="n">
        <v>46004</v>
      </c>
      <c r="C553" s="12" t="s">
        <v>39</v>
      </c>
      <c r="D553" s="12" t="s">
        <v>27</v>
      </c>
      <c r="E553" s="12" t="s">
        <v>28</v>
      </c>
      <c r="F553" s="12" t="s">
        <v>35</v>
      </c>
      <c r="G553" s="12" t="n">
        <v>6</v>
      </c>
      <c r="H553" s="14" t="n">
        <v>1798.66</v>
      </c>
      <c r="I553" s="15" t="n">
        <v>0</v>
      </c>
      <c r="J553" s="14" t="n">
        <v>96.12</v>
      </c>
    </row>
    <row r="554" customFormat="false" ht="15" hidden="false" customHeight="true" outlineLevel="0" collapsed="false">
      <c r="A554" s="12" t="s">
        <v>591</v>
      </c>
      <c r="B554" s="13" t="n">
        <v>46004</v>
      </c>
      <c r="C554" s="12" t="s">
        <v>39</v>
      </c>
      <c r="D554" s="12" t="s">
        <v>31</v>
      </c>
      <c r="E554" s="12" t="s">
        <v>32</v>
      </c>
      <c r="F554" s="12" t="s">
        <v>29</v>
      </c>
      <c r="G554" s="12" t="n">
        <v>2</v>
      </c>
      <c r="H554" s="14" t="n">
        <v>459.96</v>
      </c>
      <c r="I554" s="15" t="n">
        <v>0.3</v>
      </c>
      <c r="J554" s="14" t="n">
        <v>-37</v>
      </c>
    </row>
    <row r="555" customFormat="false" ht="15" hidden="false" customHeight="true" outlineLevel="0" collapsed="false">
      <c r="A555" s="12" t="s">
        <v>592</v>
      </c>
      <c r="B555" s="13" t="n">
        <v>46004</v>
      </c>
      <c r="C555" s="12" t="s">
        <v>39</v>
      </c>
      <c r="D555" s="12" t="s">
        <v>22</v>
      </c>
      <c r="E555" s="12" t="s">
        <v>23</v>
      </c>
      <c r="F555" s="12" t="s">
        <v>24</v>
      </c>
      <c r="G555" s="12" t="n">
        <v>1</v>
      </c>
      <c r="H555" s="14" t="n">
        <v>48.44</v>
      </c>
      <c r="I555" s="15" t="n">
        <v>0</v>
      </c>
      <c r="J555" s="14" t="n">
        <v>10.01</v>
      </c>
    </row>
    <row r="556" customFormat="false" ht="15" hidden="false" customHeight="true" outlineLevel="0" collapsed="false">
      <c r="A556" s="12" t="s">
        <v>593</v>
      </c>
      <c r="B556" s="13" t="n">
        <v>46004</v>
      </c>
      <c r="C556" s="12" t="s">
        <v>39</v>
      </c>
      <c r="D556" s="12" t="s">
        <v>31</v>
      </c>
      <c r="E556" s="12" t="s">
        <v>32</v>
      </c>
      <c r="F556" s="12" t="s">
        <v>29</v>
      </c>
      <c r="G556" s="12" t="n">
        <v>5</v>
      </c>
      <c r="H556" s="14" t="n">
        <v>1702.92</v>
      </c>
      <c r="I556" s="15" t="n">
        <v>0.1</v>
      </c>
      <c r="J556" s="14" t="n">
        <v>203.17</v>
      </c>
    </row>
    <row r="557" customFormat="false" ht="15" hidden="false" customHeight="true" outlineLevel="0" collapsed="false">
      <c r="A557" s="12" t="s">
        <v>594</v>
      </c>
      <c r="B557" s="13" t="n">
        <v>46005</v>
      </c>
      <c r="C557" s="12" t="s">
        <v>26</v>
      </c>
      <c r="D557" s="12" t="s">
        <v>31</v>
      </c>
      <c r="E557" s="12" t="s">
        <v>32</v>
      </c>
      <c r="F557" s="12" t="s">
        <v>29</v>
      </c>
      <c r="G557" s="12" t="n">
        <v>7</v>
      </c>
      <c r="H557" s="14" t="n">
        <v>2196.72</v>
      </c>
      <c r="I557" s="15" t="n">
        <v>0.1</v>
      </c>
      <c r="J557" s="14" t="n">
        <v>104.04</v>
      </c>
    </row>
    <row r="558" customFormat="false" ht="15" hidden="false" customHeight="true" outlineLevel="0" collapsed="false">
      <c r="A558" s="12" t="s">
        <v>595</v>
      </c>
      <c r="B558" s="13" t="n">
        <v>46005</v>
      </c>
      <c r="C558" s="12" t="s">
        <v>26</v>
      </c>
      <c r="D558" s="12" t="s">
        <v>27</v>
      </c>
      <c r="E558" s="12" t="s">
        <v>43</v>
      </c>
      <c r="F558" s="12" t="s">
        <v>29</v>
      </c>
      <c r="G558" s="12" t="n">
        <v>6</v>
      </c>
      <c r="H558" s="14" t="n">
        <v>1059.57</v>
      </c>
      <c r="I558" s="15" t="n">
        <v>0.1</v>
      </c>
      <c r="J558" s="14" t="n">
        <v>34.65</v>
      </c>
    </row>
    <row r="559" customFormat="false" ht="15" hidden="false" customHeight="true" outlineLevel="0" collapsed="false">
      <c r="A559" s="12" t="s">
        <v>596</v>
      </c>
      <c r="B559" s="13" t="n">
        <v>46006</v>
      </c>
      <c r="C559" s="12" t="s">
        <v>26</v>
      </c>
      <c r="D559" s="12" t="s">
        <v>22</v>
      </c>
      <c r="E559" s="12" t="s">
        <v>48</v>
      </c>
      <c r="F559" s="12" t="s">
        <v>35</v>
      </c>
      <c r="G559" s="12" t="n">
        <v>1</v>
      </c>
      <c r="H559" s="14" t="n">
        <v>38.08</v>
      </c>
      <c r="I559" s="15" t="n">
        <v>0.1</v>
      </c>
      <c r="J559" s="14" t="n">
        <v>5.7</v>
      </c>
    </row>
    <row r="560" customFormat="false" ht="15" hidden="false" customHeight="true" outlineLevel="0" collapsed="false">
      <c r="A560" s="12" t="s">
        <v>597</v>
      </c>
      <c r="B560" s="13" t="n">
        <v>46006</v>
      </c>
      <c r="C560" s="12" t="s">
        <v>39</v>
      </c>
      <c r="D560" s="12" t="s">
        <v>22</v>
      </c>
      <c r="E560" s="12" t="s">
        <v>48</v>
      </c>
      <c r="F560" s="12" t="s">
        <v>29</v>
      </c>
      <c r="G560" s="12" t="n">
        <v>6</v>
      </c>
      <c r="H560" s="14" t="n">
        <v>316.84</v>
      </c>
      <c r="I560" s="15" t="n">
        <v>0</v>
      </c>
      <c r="J560" s="14" t="n">
        <v>43.01</v>
      </c>
    </row>
    <row r="561" customFormat="false" ht="15" hidden="false" customHeight="true" outlineLevel="0" collapsed="false">
      <c r="A561" s="12" t="s">
        <v>598</v>
      </c>
      <c r="B561" s="13" t="n">
        <v>46006</v>
      </c>
      <c r="C561" s="12" t="s">
        <v>34</v>
      </c>
      <c r="D561" s="12" t="s">
        <v>27</v>
      </c>
      <c r="E561" s="12" t="s">
        <v>43</v>
      </c>
      <c r="F561" s="12" t="s">
        <v>35</v>
      </c>
      <c r="G561" s="12" t="n">
        <v>5</v>
      </c>
      <c r="H561" s="14" t="n">
        <v>815.66</v>
      </c>
      <c r="I561" s="15" t="n">
        <v>0</v>
      </c>
      <c r="J561" s="14" t="n">
        <v>-46.15</v>
      </c>
    </row>
    <row r="562" customFormat="false" ht="15" hidden="false" customHeight="true" outlineLevel="0" collapsed="false">
      <c r="A562" s="12" t="s">
        <v>599</v>
      </c>
      <c r="B562" s="13" t="n">
        <v>46006</v>
      </c>
      <c r="C562" s="12" t="s">
        <v>21</v>
      </c>
      <c r="D562" s="12" t="s">
        <v>31</v>
      </c>
      <c r="E562" s="12" t="s">
        <v>41</v>
      </c>
      <c r="F562" s="12" t="s">
        <v>35</v>
      </c>
      <c r="G562" s="12" t="n">
        <v>2</v>
      </c>
      <c r="H562" s="14" t="n">
        <v>646.25</v>
      </c>
      <c r="I562" s="15" t="n">
        <v>0.1</v>
      </c>
      <c r="J562" s="14" t="n">
        <v>50.92</v>
      </c>
    </row>
    <row r="563" customFormat="false" ht="15" hidden="false" customHeight="true" outlineLevel="0" collapsed="false">
      <c r="A563" s="12" t="s">
        <v>600</v>
      </c>
      <c r="B563" s="13" t="n">
        <v>46006</v>
      </c>
      <c r="C563" s="12" t="s">
        <v>34</v>
      </c>
      <c r="D563" s="12" t="s">
        <v>22</v>
      </c>
      <c r="E563" s="12" t="s">
        <v>23</v>
      </c>
      <c r="F563" s="12" t="s">
        <v>35</v>
      </c>
      <c r="G563" s="12" t="n">
        <v>4</v>
      </c>
      <c r="H563" s="14" t="n">
        <v>143.5</v>
      </c>
      <c r="I563" s="15" t="n">
        <v>0.3</v>
      </c>
      <c r="J563" s="14" t="n">
        <v>-15.4</v>
      </c>
    </row>
    <row r="564" customFormat="false" ht="15" hidden="false" customHeight="true" outlineLevel="0" collapsed="false">
      <c r="A564" s="12" t="s">
        <v>601</v>
      </c>
      <c r="B564" s="13" t="n">
        <v>46006</v>
      </c>
      <c r="C564" s="12" t="s">
        <v>39</v>
      </c>
      <c r="D564" s="12" t="s">
        <v>31</v>
      </c>
      <c r="E564" s="12" t="s">
        <v>32</v>
      </c>
      <c r="F564" s="12" t="s">
        <v>29</v>
      </c>
      <c r="G564" s="12" t="n">
        <v>2</v>
      </c>
      <c r="H564" s="14" t="n">
        <v>691.02</v>
      </c>
      <c r="I564" s="15" t="n">
        <v>0.4</v>
      </c>
      <c r="J564" s="14" t="n">
        <v>-55.13</v>
      </c>
    </row>
    <row r="565" customFormat="false" ht="15" hidden="false" customHeight="true" outlineLevel="0" collapsed="false">
      <c r="A565" s="12" t="s">
        <v>602</v>
      </c>
      <c r="B565" s="13" t="n">
        <v>46007</v>
      </c>
      <c r="C565" s="12" t="s">
        <v>34</v>
      </c>
      <c r="D565" s="12" t="s">
        <v>27</v>
      </c>
      <c r="E565" s="12" t="s">
        <v>51</v>
      </c>
      <c r="F565" s="12" t="s">
        <v>24</v>
      </c>
      <c r="G565" s="12" t="n">
        <v>6</v>
      </c>
      <c r="H565" s="14" t="n">
        <v>2194.84</v>
      </c>
      <c r="I565" s="15" t="n">
        <v>0</v>
      </c>
      <c r="J565" s="14" t="n">
        <v>65.79</v>
      </c>
    </row>
    <row r="566" customFormat="false" ht="15" hidden="false" customHeight="true" outlineLevel="0" collapsed="false">
      <c r="A566" s="12" t="s">
        <v>603</v>
      </c>
      <c r="B566" s="13" t="n">
        <v>46007</v>
      </c>
      <c r="C566" s="12" t="s">
        <v>21</v>
      </c>
      <c r="D566" s="12" t="s">
        <v>31</v>
      </c>
      <c r="E566" s="12" t="s">
        <v>41</v>
      </c>
      <c r="F566" s="12" t="s">
        <v>24</v>
      </c>
      <c r="G566" s="12" t="n">
        <v>2</v>
      </c>
      <c r="H566" s="14" t="n">
        <v>567.76</v>
      </c>
      <c r="I566" s="15" t="n">
        <v>0</v>
      </c>
      <c r="J566" s="14" t="n">
        <v>96.43</v>
      </c>
    </row>
    <row r="567" customFormat="false" ht="15" hidden="false" customHeight="true" outlineLevel="0" collapsed="false">
      <c r="A567" s="12" t="s">
        <v>604</v>
      </c>
      <c r="B567" s="13" t="n">
        <v>46008</v>
      </c>
      <c r="C567" s="12" t="s">
        <v>26</v>
      </c>
      <c r="D567" s="12" t="s">
        <v>22</v>
      </c>
      <c r="E567" s="12" t="s">
        <v>45</v>
      </c>
      <c r="F567" s="12" t="s">
        <v>29</v>
      </c>
      <c r="G567" s="12" t="n">
        <v>2</v>
      </c>
      <c r="H567" s="14" t="n">
        <v>81.39</v>
      </c>
      <c r="I567" s="15" t="n">
        <v>0.1</v>
      </c>
      <c r="J567" s="14" t="n">
        <v>5.36</v>
      </c>
    </row>
    <row r="568" customFormat="false" ht="15" hidden="false" customHeight="true" outlineLevel="0" collapsed="false">
      <c r="A568" s="12" t="s">
        <v>605</v>
      </c>
      <c r="B568" s="13" t="n">
        <v>46008</v>
      </c>
      <c r="C568" s="12" t="s">
        <v>26</v>
      </c>
      <c r="D568" s="12" t="s">
        <v>22</v>
      </c>
      <c r="E568" s="12" t="s">
        <v>23</v>
      </c>
      <c r="F568" s="12" t="s">
        <v>35</v>
      </c>
      <c r="G568" s="12" t="n">
        <v>4</v>
      </c>
      <c r="H568" s="14" t="n">
        <v>102.51</v>
      </c>
      <c r="I568" s="15" t="n">
        <v>0.3</v>
      </c>
      <c r="J568" s="14" t="n">
        <v>-13.28</v>
      </c>
    </row>
    <row r="569" customFormat="false" ht="15" hidden="false" customHeight="true" outlineLevel="0" collapsed="false">
      <c r="A569" s="12" t="s">
        <v>606</v>
      </c>
      <c r="B569" s="13" t="n">
        <v>46008</v>
      </c>
      <c r="C569" s="12" t="s">
        <v>34</v>
      </c>
      <c r="D569" s="12" t="s">
        <v>22</v>
      </c>
      <c r="E569" s="12" t="s">
        <v>45</v>
      </c>
      <c r="F569" s="12" t="s">
        <v>35</v>
      </c>
      <c r="G569" s="12" t="n">
        <v>1</v>
      </c>
      <c r="H569" s="14" t="n">
        <v>34.19</v>
      </c>
      <c r="I569" s="15" t="n">
        <v>0.2</v>
      </c>
      <c r="J569" s="14" t="n">
        <v>1.63</v>
      </c>
    </row>
    <row r="570" customFormat="false" ht="15" hidden="false" customHeight="true" outlineLevel="0" collapsed="false">
      <c r="A570" s="12" t="s">
        <v>607</v>
      </c>
      <c r="B570" s="13" t="n">
        <v>46008</v>
      </c>
      <c r="C570" s="12" t="s">
        <v>39</v>
      </c>
      <c r="D570" s="12" t="s">
        <v>22</v>
      </c>
      <c r="E570" s="12" t="s">
        <v>23</v>
      </c>
      <c r="F570" s="12" t="s">
        <v>24</v>
      </c>
      <c r="G570" s="12" t="n">
        <v>6</v>
      </c>
      <c r="H570" s="14" t="n">
        <v>242.14</v>
      </c>
      <c r="I570" s="15" t="n">
        <v>0.3</v>
      </c>
      <c r="J570" s="14" t="n">
        <v>-3.4</v>
      </c>
    </row>
    <row r="571" customFormat="false" ht="15" hidden="false" customHeight="true" outlineLevel="0" collapsed="false">
      <c r="A571" s="12" t="s">
        <v>608</v>
      </c>
      <c r="B571" s="13" t="n">
        <v>46008</v>
      </c>
      <c r="C571" s="12" t="s">
        <v>21</v>
      </c>
      <c r="D571" s="12" t="s">
        <v>22</v>
      </c>
      <c r="E571" s="12" t="s">
        <v>23</v>
      </c>
      <c r="F571" s="12" t="s">
        <v>24</v>
      </c>
      <c r="G571" s="12" t="n">
        <v>1</v>
      </c>
      <c r="H571" s="14" t="n">
        <v>20.9</v>
      </c>
      <c r="I571" s="15" t="n">
        <v>0.2</v>
      </c>
      <c r="J571" s="14" t="n">
        <v>-0.93</v>
      </c>
    </row>
    <row r="572" customFormat="false" ht="15" hidden="false" customHeight="true" outlineLevel="0" collapsed="false">
      <c r="A572" s="12" t="s">
        <v>609</v>
      </c>
      <c r="B572" s="13" t="n">
        <v>46009</v>
      </c>
      <c r="C572" s="12" t="s">
        <v>26</v>
      </c>
      <c r="D572" s="12" t="s">
        <v>22</v>
      </c>
      <c r="E572" s="12" t="s">
        <v>45</v>
      </c>
      <c r="F572" s="12" t="s">
        <v>35</v>
      </c>
      <c r="G572" s="12" t="n">
        <v>1</v>
      </c>
      <c r="H572" s="14" t="n">
        <v>34.28</v>
      </c>
      <c r="I572" s="15" t="n">
        <v>0.4</v>
      </c>
      <c r="J572" s="14" t="n">
        <v>-6.33</v>
      </c>
    </row>
    <row r="573" customFormat="false" ht="15" hidden="false" customHeight="true" outlineLevel="0" collapsed="false">
      <c r="A573" s="12" t="s">
        <v>610</v>
      </c>
      <c r="B573" s="13" t="n">
        <v>46009</v>
      </c>
      <c r="C573" s="12" t="s">
        <v>34</v>
      </c>
      <c r="D573" s="12" t="s">
        <v>27</v>
      </c>
      <c r="E573" s="12" t="s">
        <v>51</v>
      </c>
      <c r="F573" s="12" t="s">
        <v>35</v>
      </c>
      <c r="G573" s="12" t="n">
        <v>5</v>
      </c>
      <c r="H573" s="14" t="n">
        <v>801.33</v>
      </c>
      <c r="I573" s="15" t="n">
        <v>0</v>
      </c>
      <c r="J573" s="14" t="n">
        <v>17.07</v>
      </c>
    </row>
    <row r="574" customFormat="false" ht="15" hidden="false" customHeight="true" outlineLevel="0" collapsed="false">
      <c r="A574" s="12" t="s">
        <v>611</v>
      </c>
      <c r="B574" s="13" t="n">
        <v>46009</v>
      </c>
      <c r="C574" s="12" t="s">
        <v>39</v>
      </c>
      <c r="D574" s="12" t="s">
        <v>22</v>
      </c>
      <c r="E574" s="12" t="s">
        <v>48</v>
      </c>
      <c r="F574" s="12" t="s">
        <v>29</v>
      </c>
      <c r="G574" s="12" t="n">
        <v>6</v>
      </c>
      <c r="H574" s="14" t="n">
        <v>266.81</v>
      </c>
      <c r="I574" s="15" t="n">
        <v>0</v>
      </c>
      <c r="J574" s="14" t="n">
        <v>31.37</v>
      </c>
    </row>
    <row r="575" customFormat="false" ht="15" hidden="false" customHeight="true" outlineLevel="0" collapsed="false">
      <c r="A575" s="12" t="s">
        <v>612</v>
      </c>
      <c r="B575" s="13" t="n">
        <v>46011</v>
      </c>
      <c r="C575" s="12" t="s">
        <v>26</v>
      </c>
      <c r="D575" s="12" t="s">
        <v>31</v>
      </c>
      <c r="E575" s="12" t="s">
        <v>32</v>
      </c>
      <c r="F575" s="12" t="s">
        <v>35</v>
      </c>
      <c r="G575" s="12" t="n">
        <v>6</v>
      </c>
      <c r="H575" s="14" t="n">
        <v>3059.73</v>
      </c>
      <c r="I575" s="15" t="n">
        <v>0.1</v>
      </c>
      <c r="J575" s="14" t="n">
        <v>210</v>
      </c>
    </row>
    <row r="576" customFormat="false" ht="15" hidden="false" customHeight="true" outlineLevel="0" collapsed="false">
      <c r="A576" s="12" t="s">
        <v>613</v>
      </c>
      <c r="B576" s="13" t="n">
        <v>46011</v>
      </c>
      <c r="C576" s="12" t="s">
        <v>39</v>
      </c>
      <c r="D576" s="12" t="s">
        <v>27</v>
      </c>
      <c r="E576" s="12" t="s">
        <v>28</v>
      </c>
      <c r="F576" s="12" t="s">
        <v>35</v>
      </c>
      <c r="G576" s="12" t="n">
        <v>5</v>
      </c>
      <c r="H576" s="14" t="n">
        <v>953.47</v>
      </c>
      <c r="I576" s="15" t="n">
        <v>0.4</v>
      </c>
      <c r="J576" s="14" t="n">
        <v>-315.55</v>
      </c>
    </row>
    <row r="577" customFormat="false" ht="15" hidden="false" customHeight="true" outlineLevel="0" collapsed="false">
      <c r="A577" s="12" t="s">
        <v>614</v>
      </c>
      <c r="B577" s="13" t="n">
        <v>46011</v>
      </c>
      <c r="C577" s="12" t="s">
        <v>26</v>
      </c>
      <c r="D577" s="12" t="s">
        <v>22</v>
      </c>
      <c r="E577" s="12" t="s">
        <v>23</v>
      </c>
      <c r="F577" s="12" t="s">
        <v>29</v>
      </c>
      <c r="G577" s="12" t="n">
        <v>6</v>
      </c>
      <c r="H577" s="14" t="n">
        <v>257.8</v>
      </c>
      <c r="I577" s="15" t="n">
        <v>0.1</v>
      </c>
      <c r="J577" s="14" t="n">
        <v>27.32</v>
      </c>
    </row>
    <row r="578" customFormat="false" ht="15" hidden="false" customHeight="true" outlineLevel="0" collapsed="false">
      <c r="A578" s="12" t="s">
        <v>615</v>
      </c>
      <c r="B578" s="13" t="n">
        <v>46012</v>
      </c>
      <c r="C578" s="12" t="s">
        <v>34</v>
      </c>
      <c r="D578" s="12" t="s">
        <v>22</v>
      </c>
      <c r="E578" s="12" t="s">
        <v>48</v>
      </c>
      <c r="F578" s="12" t="s">
        <v>24</v>
      </c>
      <c r="G578" s="12" t="n">
        <v>1</v>
      </c>
      <c r="H578" s="14" t="n">
        <v>20.49</v>
      </c>
      <c r="I578" s="15" t="n">
        <v>0.3</v>
      </c>
      <c r="J578" s="14" t="n">
        <v>-1.08</v>
      </c>
    </row>
    <row r="579" customFormat="false" ht="15" hidden="false" customHeight="true" outlineLevel="0" collapsed="false">
      <c r="A579" s="12" t="s">
        <v>616</v>
      </c>
      <c r="B579" s="13" t="n">
        <v>46012</v>
      </c>
      <c r="C579" s="12" t="s">
        <v>34</v>
      </c>
      <c r="D579" s="12" t="s">
        <v>27</v>
      </c>
      <c r="E579" s="12" t="s">
        <v>43</v>
      </c>
      <c r="F579" s="12" t="s">
        <v>29</v>
      </c>
      <c r="G579" s="12" t="n">
        <v>7</v>
      </c>
      <c r="H579" s="14" t="n">
        <v>1095.97</v>
      </c>
      <c r="I579" s="15" t="n">
        <v>0.2</v>
      </c>
      <c r="J579" s="14" t="n">
        <v>-85.26</v>
      </c>
    </row>
    <row r="580" customFormat="false" ht="15" hidden="false" customHeight="true" outlineLevel="0" collapsed="false">
      <c r="A580" s="12" t="s">
        <v>617</v>
      </c>
      <c r="B580" s="13" t="n">
        <v>46013</v>
      </c>
      <c r="C580" s="12" t="s">
        <v>39</v>
      </c>
      <c r="D580" s="12" t="s">
        <v>27</v>
      </c>
      <c r="E580" s="12" t="s">
        <v>28</v>
      </c>
      <c r="F580" s="12" t="s">
        <v>24</v>
      </c>
      <c r="G580" s="12" t="n">
        <v>7</v>
      </c>
      <c r="H580" s="14" t="n">
        <v>1616.33</v>
      </c>
      <c r="I580" s="15" t="n">
        <v>0</v>
      </c>
      <c r="J580" s="14" t="n">
        <v>81.5</v>
      </c>
    </row>
    <row r="581" customFormat="false" ht="15" hidden="false" customHeight="true" outlineLevel="0" collapsed="false">
      <c r="A581" s="12" t="s">
        <v>618</v>
      </c>
      <c r="B581" s="13" t="n">
        <v>46013</v>
      </c>
      <c r="C581" s="12" t="s">
        <v>21</v>
      </c>
      <c r="D581" s="12" t="s">
        <v>31</v>
      </c>
      <c r="E581" s="12" t="s">
        <v>32</v>
      </c>
      <c r="F581" s="12" t="s">
        <v>29</v>
      </c>
      <c r="G581" s="12" t="n">
        <v>4</v>
      </c>
      <c r="H581" s="14" t="n">
        <v>2096.85</v>
      </c>
      <c r="I581" s="15" t="n">
        <v>0</v>
      </c>
      <c r="J581" s="14" t="n">
        <v>386.44</v>
      </c>
    </row>
    <row r="582" customFormat="false" ht="15" hidden="false" customHeight="true" outlineLevel="0" collapsed="false">
      <c r="A582" s="12" t="s">
        <v>619</v>
      </c>
      <c r="B582" s="13" t="n">
        <v>46013</v>
      </c>
      <c r="C582" s="12" t="s">
        <v>34</v>
      </c>
      <c r="D582" s="12" t="s">
        <v>27</v>
      </c>
      <c r="E582" s="12" t="s">
        <v>51</v>
      </c>
      <c r="F582" s="12" t="s">
        <v>24</v>
      </c>
      <c r="G582" s="12" t="n">
        <v>6</v>
      </c>
      <c r="H582" s="14" t="n">
        <v>1296.46</v>
      </c>
      <c r="I582" s="15" t="n">
        <v>0.1</v>
      </c>
      <c r="J582" s="14" t="n">
        <v>-20.66</v>
      </c>
    </row>
    <row r="583" customFormat="false" ht="15" hidden="false" customHeight="true" outlineLevel="0" collapsed="false">
      <c r="A583" s="12" t="s">
        <v>620</v>
      </c>
      <c r="B583" s="13" t="n">
        <v>46013</v>
      </c>
      <c r="C583" s="12" t="s">
        <v>39</v>
      </c>
      <c r="D583" s="12" t="s">
        <v>31</v>
      </c>
      <c r="E583" s="12" t="s">
        <v>37</v>
      </c>
      <c r="F583" s="12" t="s">
        <v>24</v>
      </c>
      <c r="G583" s="12" t="n">
        <v>5</v>
      </c>
      <c r="H583" s="14" t="n">
        <v>1869.75</v>
      </c>
      <c r="I583" s="15" t="n">
        <v>0.3</v>
      </c>
      <c r="J583" s="14" t="n">
        <v>-111.08</v>
      </c>
    </row>
    <row r="584" customFormat="false" ht="15" hidden="false" customHeight="true" outlineLevel="0" collapsed="false">
      <c r="A584" s="12" t="s">
        <v>621</v>
      </c>
      <c r="B584" s="13" t="n">
        <v>46014</v>
      </c>
      <c r="C584" s="12" t="s">
        <v>34</v>
      </c>
      <c r="D584" s="12" t="s">
        <v>22</v>
      </c>
      <c r="E584" s="12" t="s">
        <v>23</v>
      </c>
      <c r="F584" s="12" t="s">
        <v>35</v>
      </c>
      <c r="G584" s="12" t="n">
        <v>4</v>
      </c>
      <c r="H584" s="14" t="n">
        <v>150.09</v>
      </c>
      <c r="I584" s="15" t="n">
        <v>0</v>
      </c>
      <c r="J584" s="14" t="n">
        <v>31.97</v>
      </c>
    </row>
    <row r="585" customFormat="false" ht="15" hidden="false" customHeight="true" outlineLevel="0" collapsed="false">
      <c r="A585" s="12" t="s">
        <v>622</v>
      </c>
      <c r="B585" s="13" t="n">
        <v>46015</v>
      </c>
      <c r="C585" s="12" t="s">
        <v>39</v>
      </c>
      <c r="D585" s="12" t="s">
        <v>22</v>
      </c>
      <c r="E585" s="12" t="s">
        <v>23</v>
      </c>
      <c r="F585" s="12" t="s">
        <v>24</v>
      </c>
      <c r="G585" s="12" t="n">
        <v>2</v>
      </c>
      <c r="H585" s="14" t="n">
        <v>66.51</v>
      </c>
      <c r="I585" s="15" t="n">
        <v>0</v>
      </c>
      <c r="J585" s="14" t="n">
        <v>11.45</v>
      </c>
    </row>
    <row r="586" customFormat="false" ht="15" hidden="false" customHeight="true" outlineLevel="0" collapsed="false">
      <c r="A586" s="12" t="s">
        <v>623</v>
      </c>
      <c r="B586" s="13" t="n">
        <v>46015</v>
      </c>
      <c r="C586" s="12" t="s">
        <v>34</v>
      </c>
      <c r="D586" s="12" t="s">
        <v>27</v>
      </c>
      <c r="E586" s="12" t="s">
        <v>51</v>
      </c>
      <c r="F586" s="12" t="s">
        <v>29</v>
      </c>
      <c r="G586" s="12" t="n">
        <v>1</v>
      </c>
      <c r="H586" s="14" t="n">
        <v>178.37</v>
      </c>
      <c r="I586" s="15" t="n">
        <v>0.1</v>
      </c>
      <c r="J586" s="14" t="n">
        <v>12.7</v>
      </c>
    </row>
    <row r="587" customFormat="false" ht="15" hidden="false" customHeight="true" outlineLevel="0" collapsed="false">
      <c r="A587" s="12" t="s">
        <v>624</v>
      </c>
      <c r="B587" s="13" t="n">
        <v>46016</v>
      </c>
      <c r="C587" s="12" t="s">
        <v>34</v>
      </c>
      <c r="D587" s="12" t="s">
        <v>22</v>
      </c>
      <c r="E587" s="12" t="s">
        <v>48</v>
      </c>
      <c r="F587" s="12" t="s">
        <v>29</v>
      </c>
      <c r="G587" s="12" t="n">
        <v>4</v>
      </c>
      <c r="H587" s="14" t="n">
        <v>130.11</v>
      </c>
      <c r="I587" s="15" t="n">
        <v>0</v>
      </c>
      <c r="J587" s="14" t="n">
        <v>23.14</v>
      </c>
    </row>
    <row r="588" customFormat="false" ht="15" hidden="false" customHeight="true" outlineLevel="0" collapsed="false">
      <c r="A588" s="12" t="s">
        <v>625</v>
      </c>
      <c r="B588" s="13" t="n">
        <v>46016</v>
      </c>
      <c r="C588" s="12" t="s">
        <v>21</v>
      </c>
      <c r="D588" s="12" t="s">
        <v>22</v>
      </c>
      <c r="E588" s="12" t="s">
        <v>23</v>
      </c>
      <c r="F588" s="12" t="s">
        <v>29</v>
      </c>
      <c r="G588" s="12" t="n">
        <v>7</v>
      </c>
      <c r="H588" s="14" t="n">
        <v>313.11</v>
      </c>
      <c r="I588" s="15" t="n">
        <v>0</v>
      </c>
      <c r="J588" s="14" t="n">
        <v>77.16</v>
      </c>
    </row>
    <row r="589" customFormat="false" ht="15" hidden="false" customHeight="true" outlineLevel="0" collapsed="false">
      <c r="A589" s="12" t="s">
        <v>626</v>
      </c>
      <c r="B589" s="13" t="n">
        <v>46016</v>
      </c>
      <c r="C589" s="12" t="s">
        <v>39</v>
      </c>
      <c r="D589" s="12" t="s">
        <v>27</v>
      </c>
      <c r="E589" s="12" t="s">
        <v>43</v>
      </c>
      <c r="F589" s="12" t="s">
        <v>29</v>
      </c>
      <c r="G589" s="12" t="n">
        <v>4</v>
      </c>
      <c r="H589" s="14" t="n">
        <v>918.55</v>
      </c>
      <c r="I589" s="15" t="n">
        <v>0</v>
      </c>
      <c r="J589" s="14" t="n">
        <v>-17.04</v>
      </c>
    </row>
    <row r="590" customFormat="false" ht="15" hidden="false" customHeight="true" outlineLevel="0" collapsed="false">
      <c r="A590" s="12" t="s">
        <v>627</v>
      </c>
      <c r="B590" s="13" t="n">
        <v>46017</v>
      </c>
      <c r="C590" s="12" t="s">
        <v>34</v>
      </c>
      <c r="D590" s="12" t="s">
        <v>31</v>
      </c>
      <c r="E590" s="12" t="s">
        <v>37</v>
      </c>
      <c r="F590" s="12" t="s">
        <v>29</v>
      </c>
      <c r="G590" s="12" t="n">
        <v>1</v>
      </c>
      <c r="H590" s="14" t="n">
        <v>436.98</v>
      </c>
      <c r="I590" s="15" t="n">
        <v>0</v>
      </c>
      <c r="J590" s="14" t="n">
        <v>117.08</v>
      </c>
    </row>
    <row r="591" customFormat="false" ht="15" hidden="false" customHeight="true" outlineLevel="0" collapsed="false">
      <c r="A591" s="12" t="s">
        <v>628</v>
      </c>
      <c r="B591" s="13" t="n">
        <v>46018</v>
      </c>
      <c r="C591" s="12" t="s">
        <v>21</v>
      </c>
      <c r="D591" s="12" t="s">
        <v>31</v>
      </c>
      <c r="E591" s="12" t="s">
        <v>37</v>
      </c>
      <c r="F591" s="12" t="s">
        <v>24</v>
      </c>
      <c r="G591" s="12" t="n">
        <v>7</v>
      </c>
      <c r="H591" s="14" t="n">
        <v>2528.83</v>
      </c>
      <c r="I591" s="15" t="n">
        <v>0.2</v>
      </c>
      <c r="J591" s="14" t="n">
        <v>-43.99</v>
      </c>
    </row>
    <row r="592" customFormat="false" ht="15" hidden="false" customHeight="true" outlineLevel="0" collapsed="false">
      <c r="A592" s="12" t="s">
        <v>629</v>
      </c>
      <c r="B592" s="13" t="n">
        <v>46018</v>
      </c>
      <c r="C592" s="12" t="s">
        <v>39</v>
      </c>
      <c r="D592" s="12" t="s">
        <v>27</v>
      </c>
      <c r="E592" s="12" t="s">
        <v>28</v>
      </c>
      <c r="F592" s="12" t="s">
        <v>35</v>
      </c>
      <c r="G592" s="12" t="n">
        <v>5</v>
      </c>
      <c r="H592" s="14" t="n">
        <v>1017.97</v>
      </c>
      <c r="I592" s="15" t="n">
        <v>0.2</v>
      </c>
      <c r="J592" s="14" t="n">
        <v>-226.39</v>
      </c>
    </row>
    <row r="593" customFormat="false" ht="15" hidden="false" customHeight="true" outlineLevel="0" collapsed="false">
      <c r="A593" s="12" t="s">
        <v>630</v>
      </c>
      <c r="B593" s="13" t="n">
        <v>46018</v>
      </c>
      <c r="C593" s="12" t="s">
        <v>39</v>
      </c>
      <c r="D593" s="12" t="s">
        <v>31</v>
      </c>
      <c r="E593" s="12" t="s">
        <v>37</v>
      </c>
      <c r="F593" s="12" t="s">
        <v>29</v>
      </c>
      <c r="G593" s="12" t="n">
        <v>5</v>
      </c>
      <c r="H593" s="14" t="n">
        <v>2504.62</v>
      </c>
      <c r="I593" s="15" t="n">
        <v>0</v>
      </c>
      <c r="J593" s="14" t="n">
        <v>277.21</v>
      </c>
    </row>
    <row r="594" customFormat="false" ht="15" hidden="false" customHeight="true" outlineLevel="0" collapsed="false">
      <c r="A594" s="12" t="s">
        <v>631</v>
      </c>
      <c r="B594" s="13" t="n">
        <v>46018</v>
      </c>
      <c r="C594" s="12" t="s">
        <v>39</v>
      </c>
      <c r="D594" s="12" t="s">
        <v>27</v>
      </c>
      <c r="E594" s="12" t="s">
        <v>51</v>
      </c>
      <c r="F594" s="12" t="s">
        <v>24</v>
      </c>
      <c r="G594" s="12" t="n">
        <v>7</v>
      </c>
      <c r="H594" s="14" t="n">
        <v>695</v>
      </c>
      <c r="I594" s="15" t="n">
        <v>0.4</v>
      </c>
      <c r="J594" s="14" t="n">
        <v>-284.6</v>
      </c>
    </row>
    <row r="595" customFormat="false" ht="15" hidden="false" customHeight="true" outlineLevel="0" collapsed="false">
      <c r="A595" s="12" t="s">
        <v>632</v>
      </c>
      <c r="B595" s="13" t="n">
        <v>46020</v>
      </c>
      <c r="C595" s="12" t="s">
        <v>39</v>
      </c>
      <c r="D595" s="12" t="s">
        <v>22</v>
      </c>
      <c r="E595" s="12" t="s">
        <v>48</v>
      </c>
      <c r="F595" s="12" t="s">
        <v>35</v>
      </c>
      <c r="G595" s="12" t="n">
        <v>3</v>
      </c>
      <c r="H595" s="14" t="n">
        <v>72.96</v>
      </c>
      <c r="I595" s="15" t="n">
        <v>0.4</v>
      </c>
      <c r="J595" s="14" t="n">
        <v>-14.35</v>
      </c>
    </row>
    <row r="596" customFormat="false" ht="15" hidden="false" customHeight="true" outlineLevel="0" collapsed="false">
      <c r="A596" s="12" t="s">
        <v>633</v>
      </c>
      <c r="B596" s="13" t="n">
        <v>46020</v>
      </c>
      <c r="C596" s="12" t="s">
        <v>21</v>
      </c>
      <c r="D596" s="12" t="s">
        <v>31</v>
      </c>
      <c r="E596" s="12" t="s">
        <v>41</v>
      </c>
      <c r="F596" s="12" t="s">
        <v>29</v>
      </c>
      <c r="G596" s="12" t="n">
        <v>2</v>
      </c>
      <c r="H596" s="14" t="n">
        <v>1090.53</v>
      </c>
      <c r="I596" s="15" t="n">
        <v>0</v>
      </c>
      <c r="J596" s="14" t="n">
        <v>279.3</v>
      </c>
    </row>
    <row r="597" customFormat="false" ht="15" hidden="false" customHeight="true" outlineLevel="0" collapsed="false">
      <c r="A597" s="12" t="s">
        <v>634</v>
      </c>
      <c r="B597" s="13" t="n">
        <v>46020</v>
      </c>
      <c r="C597" s="12" t="s">
        <v>34</v>
      </c>
      <c r="D597" s="12" t="s">
        <v>22</v>
      </c>
      <c r="E597" s="12" t="s">
        <v>45</v>
      </c>
      <c r="F597" s="12" t="s">
        <v>35</v>
      </c>
      <c r="G597" s="12" t="n">
        <v>2</v>
      </c>
      <c r="H597" s="14" t="n">
        <v>33.43</v>
      </c>
      <c r="I597" s="15" t="n">
        <v>0.4</v>
      </c>
      <c r="J597" s="14" t="n">
        <v>-5.04</v>
      </c>
    </row>
    <row r="598" customFormat="false" ht="15" hidden="false" customHeight="true" outlineLevel="0" collapsed="false">
      <c r="A598" s="12" t="s">
        <v>635</v>
      </c>
      <c r="B598" s="13" t="n">
        <v>46021</v>
      </c>
      <c r="C598" s="12" t="s">
        <v>34</v>
      </c>
      <c r="D598" s="12" t="s">
        <v>22</v>
      </c>
      <c r="E598" s="12" t="s">
        <v>23</v>
      </c>
      <c r="F598" s="12" t="s">
        <v>35</v>
      </c>
      <c r="G598" s="12" t="n">
        <v>4</v>
      </c>
      <c r="H598" s="14" t="n">
        <v>186.26</v>
      </c>
      <c r="I598" s="15" t="n">
        <v>0.1</v>
      </c>
      <c r="J598" s="14" t="n">
        <v>16.16</v>
      </c>
    </row>
    <row r="599" customFormat="false" ht="15" hidden="false" customHeight="true" outlineLevel="0" collapsed="false">
      <c r="A599" s="12" t="s">
        <v>636</v>
      </c>
      <c r="B599" s="13" t="n">
        <v>46021</v>
      </c>
      <c r="C599" s="12" t="s">
        <v>34</v>
      </c>
      <c r="D599" s="12" t="s">
        <v>22</v>
      </c>
      <c r="E599" s="12" t="s">
        <v>45</v>
      </c>
      <c r="F599" s="12" t="s">
        <v>29</v>
      </c>
      <c r="G599" s="12" t="n">
        <v>4</v>
      </c>
      <c r="H599" s="14" t="n">
        <v>155.28</v>
      </c>
      <c r="I599" s="15" t="n">
        <v>0</v>
      </c>
      <c r="J599" s="14" t="n">
        <v>43.07</v>
      </c>
    </row>
    <row r="600" customFormat="false" ht="15" hidden="false" customHeight="true" outlineLevel="0" collapsed="false">
      <c r="A600" s="12" t="s">
        <v>637</v>
      </c>
      <c r="B600" s="13" t="n">
        <v>46022</v>
      </c>
      <c r="C600" s="12" t="s">
        <v>34</v>
      </c>
      <c r="D600" s="12" t="s">
        <v>31</v>
      </c>
      <c r="E600" s="12" t="s">
        <v>32</v>
      </c>
      <c r="F600" s="12" t="s">
        <v>24</v>
      </c>
      <c r="G600" s="12" t="n">
        <v>3</v>
      </c>
      <c r="H600" s="14" t="n">
        <v>1050.6</v>
      </c>
      <c r="I600" s="15" t="n">
        <v>0.4</v>
      </c>
      <c r="J600" s="14" t="n">
        <v>-40.54</v>
      </c>
    </row>
    <row r="601" customFormat="false" ht="15" hidden="false" customHeight="true" outlineLevel="0" collapsed="false">
      <c r="A601" s="12" t="s">
        <v>638</v>
      </c>
      <c r="B601" s="13" t="n">
        <v>46022</v>
      </c>
      <c r="C601" s="12" t="s">
        <v>34</v>
      </c>
      <c r="D601" s="12" t="s">
        <v>22</v>
      </c>
      <c r="E601" s="12" t="s">
        <v>45</v>
      </c>
      <c r="F601" s="12" t="s">
        <v>29</v>
      </c>
      <c r="G601" s="12" t="n">
        <v>5</v>
      </c>
      <c r="H601" s="14" t="n">
        <v>114.9</v>
      </c>
      <c r="I601" s="15" t="n">
        <v>0.3</v>
      </c>
      <c r="J601" s="14" t="n">
        <v>-0.94</v>
      </c>
    </row>
  </sheetData>
  <autoFilter ref="A1:J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8"/>
  </cols>
  <sheetData>
    <row r="1" customFormat="false" ht="17.25" hidden="false" customHeight="true" outlineLevel="0" collapsed="false">
      <c r="A1" s="16" t="s">
        <v>639</v>
      </c>
    </row>
    <row r="2" customFormat="false" ht="15" hidden="false" customHeight="true" outlineLevel="0" collapsed="false">
      <c r="A2" s="3" t="s">
        <v>640</v>
      </c>
    </row>
    <row r="4" customFormat="false" ht="15" hidden="false" customHeight="true" outlineLevel="0" collapsed="false">
      <c r="A4" s="17" t="s">
        <v>641</v>
      </c>
    </row>
    <row r="5" customFormat="false" ht="15" hidden="false" customHeight="true" outlineLevel="0" collapsed="false">
      <c r="A5" s="12" t="s">
        <v>2</v>
      </c>
      <c r="B5" s="18" t="n">
        <f aca="false">SUM(Sales)</f>
        <v>406636.64</v>
      </c>
    </row>
    <row r="6" customFormat="false" ht="15" hidden="false" customHeight="true" outlineLevel="0" collapsed="false">
      <c r="A6" s="12" t="s">
        <v>3</v>
      </c>
      <c r="B6" s="18" t="n">
        <f aca="false">SUM(Profit)</f>
        <v>17519.75</v>
      </c>
    </row>
    <row r="7" customFormat="false" ht="15" hidden="false" customHeight="true" outlineLevel="0" collapsed="false">
      <c r="A7" s="12" t="s">
        <v>4</v>
      </c>
      <c r="B7" s="19" t="n">
        <f aca="false">B6/B5</f>
        <v>0.0430845336514683</v>
      </c>
    </row>
    <row r="8" customFormat="false" ht="15" hidden="false" customHeight="true" outlineLevel="0" collapsed="false">
      <c r="A8" s="12" t="s">
        <v>5</v>
      </c>
      <c r="B8" s="18" t="n">
        <f aca="false">COUNTA(OrderID)</f>
        <v>600</v>
      </c>
    </row>
    <row r="9" customFormat="false" ht="15" hidden="false" customHeight="true" outlineLevel="0" collapsed="false">
      <c r="A9" s="12" t="s">
        <v>6</v>
      </c>
      <c r="B9" s="14" t="n">
        <f aca="false">B5/B8</f>
        <v>677.727733333333</v>
      </c>
    </row>
    <row r="10" customFormat="false" ht="15" hidden="false" customHeight="true" outlineLevel="0" collapsed="false">
      <c r="A10" s="12" t="s">
        <v>642</v>
      </c>
      <c r="B10" s="18" t="n">
        <f aca="false">SUM(Qty)</f>
        <v>2423</v>
      </c>
    </row>
    <row r="11" customFormat="false" ht="15" hidden="false" customHeight="true" outlineLevel="0" collapsed="false">
      <c r="A11" s="12" t="s">
        <v>643</v>
      </c>
      <c r="B11" s="19" t="n">
        <f aca="false">AVERAGE(Discount)</f>
        <v>0.136666666666667</v>
      </c>
    </row>
    <row r="13" customFormat="false" ht="15" hidden="false" customHeight="true" outlineLevel="0" collapsed="false">
      <c r="A13" s="17" t="s">
        <v>644</v>
      </c>
    </row>
    <row r="14" customFormat="false" ht="15" hidden="false" customHeight="true" outlineLevel="0" collapsed="false">
      <c r="A14" s="11" t="s">
        <v>13</v>
      </c>
      <c r="B14" s="11" t="s">
        <v>17</v>
      </c>
      <c r="C14" s="11" t="s">
        <v>19</v>
      </c>
      <c r="D14" s="11" t="s">
        <v>4</v>
      </c>
      <c r="E14" s="11" t="s">
        <v>645</v>
      </c>
      <c r="F14" s="11" t="s">
        <v>6</v>
      </c>
      <c r="G14" s="11" t="s">
        <v>643</v>
      </c>
      <c r="H14" s="11" t="s">
        <v>646</v>
      </c>
    </row>
    <row r="15" customFormat="false" ht="15" hidden="false" customHeight="true" outlineLevel="0" collapsed="false">
      <c r="A15" s="20" t="s">
        <v>27</v>
      </c>
      <c r="B15" s="21" t="n">
        <f aca="false">SUMIFS(Sales,Category,$A15)</f>
        <v>143184.44</v>
      </c>
      <c r="C15" s="21" t="n">
        <f aca="false">SUMIFS(Profit,Category,$A15)</f>
        <v>-15860.03</v>
      </c>
      <c r="D15" s="22" t="n">
        <f aca="false">IFERROR(C15/B15,0)</f>
        <v>-0.110766435235561</v>
      </c>
      <c r="E15" s="21" t="n">
        <f aca="false">COUNTIFS(Category,$A15)</f>
        <v>146</v>
      </c>
      <c r="F15" s="23" t="n">
        <f aca="false">IFERROR(B15/E15,0)</f>
        <v>980.715342465754</v>
      </c>
      <c r="G15" s="22" t="n">
        <f aca="false">AVERAGEIFS(Discount,Category,$A15)</f>
        <v>0.127397260273973</v>
      </c>
      <c r="H15" s="22" t="n">
        <f aca="false">B15/$B$5</f>
        <v>0.352118884318934</v>
      </c>
    </row>
    <row r="16" customFormat="false" ht="15" hidden="false" customHeight="true" outlineLevel="0" collapsed="false">
      <c r="A16" s="20" t="s">
        <v>22</v>
      </c>
      <c r="B16" s="21" t="n">
        <f aca="false">SUMIFS(Sales,Category,$A16)</f>
        <v>42325.07</v>
      </c>
      <c r="C16" s="21" t="n">
        <f aca="false">SUMIFS(Profit,Category,$A16)</f>
        <v>2421.93</v>
      </c>
      <c r="D16" s="22" t="n">
        <f aca="false">IFERROR(C16/B16,0)</f>
        <v>0.0572221144584049</v>
      </c>
      <c r="E16" s="21" t="n">
        <f aca="false">COUNTIFS(Category,$A16)</f>
        <v>294</v>
      </c>
      <c r="F16" s="23" t="n">
        <f aca="false">IFERROR(B16/E16,0)</f>
        <v>143.962823129252</v>
      </c>
      <c r="G16" s="22" t="n">
        <f aca="false">AVERAGEIFS(Discount,Category,$A16)</f>
        <v>0.147619047619048</v>
      </c>
      <c r="H16" s="22" t="n">
        <f aca="false">B16/$B$5</f>
        <v>0.104085726264116</v>
      </c>
    </row>
    <row r="17" customFormat="false" ht="15" hidden="false" customHeight="true" outlineLevel="0" collapsed="false">
      <c r="A17" s="20" t="s">
        <v>31</v>
      </c>
      <c r="B17" s="21" t="n">
        <f aca="false">SUMIFS(Sales,Category,$A17)</f>
        <v>221127.13</v>
      </c>
      <c r="C17" s="21" t="n">
        <f aca="false">SUMIFS(Profit,Category,$A17)</f>
        <v>30957.85</v>
      </c>
      <c r="D17" s="22" t="n">
        <f aca="false">IFERROR(C17/B17,0)</f>
        <v>0.140000234254386</v>
      </c>
      <c r="E17" s="21" t="n">
        <f aca="false">COUNTIFS(Category,$A17)</f>
        <v>160</v>
      </c>
      <c r="F17" s="23" t="n">
        <f aca="false">IFERROR(B17/E17,0)</f>
        <v>1382.0445625</v>
      </c>
      <c r="G17" s="22" t="n">
        <f aca="false">AVERAGEIFS(Discount,Category,$A17)</f>
        <v>0.125</v>
      </c>
      <c r="H17" s="22" t="n">
        <f aca="false">B17/$B$5</f>
        <v>0.54379538941695</v>
      </c>
    </row>
    <row r="18" customFormat="false" ht="15" hidden="false" customHeight="true" outlineLevel="0" collapsed="false">
      <c r="A18" s="24" t="s">
        <v>647</v>
      </c>
      <c r="B18" s="25" t="n">
        <f aca="false">SUM(B15:B17)</f>
        <v>406636.64</v>
      </c>
      <c r="C18" s="25" t="n">
        <f aca="false">SUM(C15:C17)</f>
        <v>17519.75</v>
      </c>
      <c r="D18" s="26" t="n">
        <f aca="false">C18/B18</f>
        <v>0.0430845336514683</v>
      </c>
      <c r="E18" s="25" t="n">
        <f aca="false">SUM(E15:E17)</f>
        <v>600</v>
      </c>
      <c r="F18" s="27" t="n">
        <f aca="false">B18/E18</f>
        <v>677.727733333333</v>
      </c>
      <c r="G18" s="26" t="n">
        <f aca="false">$B$11</f>
        <v>0.136666666666667</v>
      </c>
      <c r="H18" s="26" t="n">
        <f aca="false">SUM(H15:H17)</f>
        <v>1</v>
      </c>
    </row>
    <row r="20" customFormat="false" ht="15" hidden="false" customHeight="true" outlineLevel="0" collapsed="false">
      <c r="A20" s="17" t="s">
        <v>648</v>
      </c>
    </row>
    <row r="21" customFormat="false" ht="15" hidden="false" customHeight="true" outlineLevel="0" collapsed="false">
      <c r="A21" s="11" t="s">
        <v>12</v>
      </c>
      <c r="B21" s="11" t="s">
        <v>17</v>
      </c>
      <c r="C21" s="11" t="s">
        <v>19</v>
      </c>
      <c r="D21" s="11" t="s">
        <v>4</v>
      </c>
      <c r="E21" s="11" t="s">
        <v>645</v>
      </c>
      <c r="F21" s="11" t="s">
        <v>6</v>
      </c>
      <c r="G21" s="11" t="s">
        <v>643</v>
      </c>
      <c r="H21" s="11" t="s">
        <v>646</v>
      </c>
    </row>
    <row r="22" customFormat="false" ht="15" hidden="false" customHeight="true" outlineLevel="0" collapsed="false">
      <c r="A22" s="20" t="s">
        <v>39</v>
      </c>
      <c r="B22" s="21" t="n">
        <f aca="false">SUMIFS(Sales,Region,$A22)</f>
        <v>125751.78</v>
      </c>
      <c r="C22" s="21" t="n">
        <f aca="false">SUMIFS(Profit,Region,$A22)</f>
        <v>4003.02</v>
      </c>
      <c r="D22" s="22" t="n">
        <f aca="false">IFERROR(C22/B22,0)</f>
        <v>0.0318327104395659</v>
      </c>
      <c r="E22" s="21" t="n">
        <f aca="false">COUNTIFS(Region,$A22)</f>
        <v>172</v>
      </c>
      <c r="F22" s="23" t="n">
        <f aca="false">IFERROR(B22/E22,0)</f>
        <v>731.115</v>
      </c>
      <c r="G22" s="22" t="n">
        <f aca="false">AVERAGEIFS(Discount,Region,$A22)</f>
        <v>0.127906976744186</v>
      </c>
      <c r="H22" s="22" t="n">
        <f aca="false">B22/$B$5</f>
        <v>0.309248522218755</v>
      </c>
    </row>
    <row r="23" customFormat="false" ht="15" hidden="false" customHeight="true" outlineLevel="0" collapsed="false">
      <c r="A23" s="20" t="s">
        <v>34</v>
      </c>
      <c r="B23" s="21" t="n">
        <f aca="false">SUMIFS(Sales,Region,$A23)</f>
        <v>122966.83</v>
      </c>
      <c r="C23" s="21" t="n">
        <f aca="false">SUMIFS(Profit,Region,$A23)</f>
        <v>6593.82</v>
      </c>
      <c r="D23" s="22" t="n">
        <f aca="false">IFERROR(C23/B23,0)</f>
        <v>0.0536227533880478</v>
      </c>
      <c r="E23" s="21" t="n">
        <f aca="false">COUNTIFS(Region,$A23)</f>
        <v>196</v>
      </c>
      <c r="F23" s="23" t="n">
        <f aca="false">IFERROR(B23/E23,0)</f>
        <v>627.381785714286</v>
      </c>
      <c r="G23" s="22" t="n">
        <f aca="false">AVERAGEIFS(Discount,Region,$A23)</f>
        <v>0.139285714285714</v>
      </c>
      <c r="H23" s="22" t="n">
        <f aca="false">B23/$B$5</f>
        <v>0.302399778829571</v>
      </c>
    </row>
    <row r="24" customFormat="false" ht="15" hidden="false" customHeight="true" outlineLevel="0" collapsed="false">
      <c r="A24" s="20" t="s">
        <v>26</v>
      </c>
      <c r="B24" s="21" t="n">
        <f aca="false">SUMIFS(Sales,Region,$A24)</f>
        <v>76209.37</v>
      </c>
      <c r="C24" s="21" t="n">
        <f aca="false">SUMIFS(Profit,Region,$A24)</f>
        <v>-355.3</v>
      </c>
      <c r="D24" s="22" t="n">
        <f aca="false">IFERROR(C24/B24,0)</f>
        <v>-0.00466215637263502</v>
      </c>
      <c r="E24" s="21" t="n">
        <f aca="false">COUNTIFS(Region,$A24)</f>
        <v>119</v>
      </c>
      <c r="F24" s="23" t="n">
        <f aca="false">IFERROR(B24/E24,0)</f>
        <v>640.41487394958</v>
      </c>
      <c r="G24" s="22" t="n">
        <f aca="false">AVERAGEIFS(Discount,Region,$A24)</f>
        <v>0.15546218487395</v>
      </c>
      <c r="H24" s="22" t="n">
        <f aca="false">B24/$B$5</f>
        <v>0.187413928071017</v>
      </c>
    </row>
    <row r="25" customFormat="false" ht="15" hidden="false" customHeight="true" outlineLevel="0" collapsed="false">
      <c r="A25" s="20" t="s">
        <v>21</v>
      </c>
      <c r="B25" s="21" t="n">
        <f aca="false">SUMIFS(Sales,Region,$A25)</f>
        <v>81708.66</v>
      </c>
      <c r="C25" s="21" t="n">
        <f aca="false">SUMIFS(Profit,Region,$A25)</f>
        <v>7278.21</v>
      </c>
      <c r="D25" s="22" t="n">
        <f aca="false">IFERROR(C25/B25,0)</f>
        <v>0.0890751359770188</v>
      </c>
      <c r="E25" s="21" t="n">
        <f aca="false">COUNTIFS(Region,$A25)</f>
        <v>113</v>
      </c>
      <c r="F25" s="23" t="n">
        <f aca="false">IFERROR(B25/E25,0)</f>
        <v>723.085486725664</v>
      </c>
      <c r="G25" s="22" t="n">
        <f aca="false">AVERAGEIFS(Discount,Region,$A25)</f>
        <v>0.125663716814159</v>
      </c>
      <c r="H25" s="22" t="n">
        <f aca="false">B25/$B$5</f>
        <v>0.200937770880657</v>
      </c>
    </row>
    <row r="26" customFormat="false" ht="15" hidden="false" customHeight="true" outlineLevel="0" collapsed="false">
      <c r="A26" s="24" t="s">
        <v>647</v>
      </c>
      <c r="B26" s="25" t="n">
        <f aca="false">SUM(B22:B25)</f>
        <v>406636.64</v>
      </c>
      <c r="C26" s="25" t="n">
        <f aca="false">SUM(C22:C25)</f>
        <v>17519.75</v>
      </c>
      <c r="D26" s="26" t="n">
        <f aca="false">C26/B26</f>
        <v>0.0430845336514683</v>
      </c>
      <c r="E26" s="25" t="n">
        <f aca="false">SUM(E22:E25)</f>
        <v>600</v>
      </c>
      <c r="F26" s="27" t="n">
        <f aca="false">B26/E26</f>
        <v>677.727733333333</v>
      </c>
      <c r="G26" s="26" t="n">
        <f aca="false">$B$11</f>
        <v>0.136666666666667</v>
      </c>
      <c r="H26" s="26" t="n">
        <f aca="false">SUM(H22:H25)</f>
        <v>1</v>
      </c>
    </row>
    <row r="28" customFormat="false" ht="15" hidden="false" customHeight="true" outlineLevel="0" collapsed="false">
      <c r="A28" s="17" t="s">
        <v>649</v>
      </c>
    </row>
    <row r="29" customFormat="false" ht="15" hidden="false" customHeight="true" outlineLevel="0" collapsed="false">
      <c r="A29" s="11" t="s">
        <v>15</v>
      </c>
      <c r="B29" s="11" t="s">
        <v>17</v>
      </c>
      <c r="C29" s="11" t="s">
        <v>19</v>
      </c>
      <c r="D29" s="11" t="s">
        <v>4</v>
      </c>
      <c r="E29" s="11" t="s">
        <v>645</v>
      </c>
      <c r="F29" s="11" t="s">
        <v>6</v>
      </c>
      <c r="G29" s="11" t="s">
        <v>643</v>
      </c>
      <c r="H29" s="11" t="s">
        <v>646</v>
      </c>
    </row>
    <row r="30" customFormat="false" ht="15" hidden="false" customHeight="true" outlineLevel="0" collapsed="false">
      <c r="A30" s="20" t="s">
        <v>29</v>
      </c>
      <c r="B30" s="21" t="n">
        <f aca="false">SUMIFS(Sales,Segment,$A30)</f>
        <v>192371.93</v>
      </c>
      <c r="C30" s="21" t="n">
        <f aca="false">SUMIFS(Profit,Segment,$A30)</f>
        <v>7064.85</v>
      </c>
      <c r="D30" s="22" t="n">
        <f aca="false">IFERROR(C30/B30,0)</f>
        <v>0.0367249525437521</v>
      </c>
      <c r="E30" s="21" t="n">
        <f aca="false">COUNTIFS(Segment,$A30)</f>
        <v>291</v>
      </c>
      <c r="F30" s="23" t="n">
        <f aca="false">IFERROR(B30/E30,0)</f>
        <v>661.071924398625</v>
      </c>
      <c r="G30" s="22" t="n">
        <f aca="false">AVERAGEIFS(Discount,Segment,$A30)</f>
        <v>0.132646048109966</v>
      </c>
      <c r="H30" s="22" t="n">
        <f aca="false">B30/$B$5</f>
        <v>0.473080659922824</v>
      </c>
    </row>
    <row r="31" customFormat="false" ht="15" hidden="false" customHeight="true" outlineLevel="0" collapsed="false">
      <c r="A31" s="20" t="s">
        <v>24</v>
      </c>
      <c r="B31" s="21" t="n">
        <f aca="false">SUMIFS(Sales,Segment,$A31)</f>
        <v>114808.83</v>
      </c>
      <c r="C31" s="21" t="n">
        <f aca="false">SUMIFS(Profit,Segment,$A31)</f>
        <v>3556</v>
      </c>
      <c r="D31" s="22" t="n">
        <f aca="false">IFERROR(C31/B31,0)</f>
        <v>0.0309732274076828</v>
      </c>
      <c r="E31" s="21" t="n">
        <f aca="false">COUNTIFS(Segment,$A31)</f>
        <v>168</v>
      </c>
      <c r="F31" s="23" t="n">
        <f aca="false">IFERROR(B31/E31,0)</f>
        <v>683.385892857143</v>
      </c>
      <c r="G31" s="22" t="n">
        <f aca="false">AVERAGEIFS(Discount,Segment,$A31)</f>
        <v>0.148809523809524</v>
      </c>
      <c r="H31" s="22" t="n">
        <f aca="false">B31/$B$5</f>
        <v>0.2823376417826</v>
      </c>
    </row>
    <row r="32" customFormat="false" ht="15" hidden="false" customHeight="true" outlineLevel="0" collapsed="false">
      <c r="A32" s="20" t="s">
        <v>35</v>
      </c>
      <c r="B32" s="21" t="n">
        <f aca="false">SUMIFS(Sales,Segment,$A32)</f>
        <v>99455.88</v>
      </c>
      <c r="C32" s="21" t="n">
        <f aca="false">SUMIFS(Profit,Segment,$A32)</f>
        <v>6898.9</v>
      </c>
      <c r="D32" s="22" t="n">
        <f aca="false">IFERROR(C32/B32,0)</f>
        <v>0.0693664366551279</v>
      </c>
      <c r="E32" s="21" t="n">
        <f aca="false">COUNTIFS(Segment,$A32)</f>
        <v>141</v>
      </c>
      <c r="F32" s="23" t="n">
        <f aca="false">IFERROR(B32/E32,0)</f>
        <v>705.36085106383</v>
      </c>
      <c r="G32" s="22" t="n">
        <f aca="false">AVERAGEIFS(Discount,Segment,$A32)</f>
        <v>0.130496453900709</v>
      </c>
      <c r="H32" s="22" t="n">
        <f aca="false">B32/$B$5</f>
        <v>0.244581698294576</v>
      </c>
    </row>
    <row r="33" customFormat="false" ht="15" hidden="false" customHeight="true" outlineLevel="0" collapsed="false">
      <c r="A33" s="24" t="s">
        <v>647</v>
      </c>
      <c r="B33" s="25" t="n">
        <f aca="false">SUM(B30:B32)</f>
        <v>406636.64</v>
      </c>
      <c r="C33" s="25" t="n">
        <f aca="false">SUM(C30:C32)</f>
        <v>17519.75</v>
      </c>
      <c r="D33" s="26" t="n">
        <f aca="false">C33/B33</f>
        <v>0.0430845336514683</v>
      </c>
      <c r="E33" s="25" t="n">
        <f aca="false">SUM(E30:E32)</f>
        <v>600</v>
      </c>
      <c r="F33" s="27" t="n">
        <f aca="false">B33/E33</f>
        <v>677.727733333333</v>
      </c>
      <c r="G33" s="26" t="n">
        <f aca="false">$B$11</f>
        <v>0.136666666666667</v>
      </c>
      <c r="H33" s="26" t="n">
        <f aca="false">SUM(H30:H32)</f>
        <v>1</v>
      </c>
    </row>
    <row r="35" customFormat="false" ht="15" hidden="false" customHeight="true" outlineLevel="0" collapsed="false">
      <c r="A35" s="17" t="s">
        <v>650</v>
      </c>
    </row>
    <row r="36" customFormat="false" ht="26.25" hidden="false" customHeight="true" outlineLevel="0" collapsed="false">
      <c r="A36" s="11" t="s">
        <v>651</v>
      </c>
      <c r="B36" s="11" t="s">
        <v>17</v>
      </c>
      <c r="C36" s="11" t="s">
        <v>19</v>
      </c>
      <c r="D36" s="11" t="s">
        <v>4</v>
      </c>
      <c r="E36" s="11" t="s">
        <v>645</v>
      </c>
      <c r="F36" s="11" t="s">
        <v>652</v>
      </c>
    </row>
    <row r="37" customFormat="false" ht="15" hidden="false" customHeight="true" outlineLevel="0" collapsed="false">
      <c r="A37" s="28" t="n">
        <v>45658</v>
      </c>
      <c r="B37" s="21" t="n">
        <f aca="false">SUMIFS(Sales,OrderDate,"&gt;="&amp;$A37,OrderDate,"&lt;"&amp;EDATE($A37,1))</f>
        <v>24634.17</v>
      </c>
      <c r="C37" s="21" t="n">
        <f aca="false">SUMIFS(Profit,OrderDate,"&gt;="&amp;$A37,OrderDate,"&lt;"&amp;EDATE($A37,1))</f>
        <v>2080.68</v>
      </c>
      <c r="D37" s="22" t="n">
        <f aca="false">IFERROR(C37/B37,0)</f>
        <v>0.084463166406662</v>
      </c>
      <c r="E37" s="21" t="n">
        <f aca="false">COUNTIFS(OrderDate,"&gt;="&amp;$A37,OrderDate,"&lt;"&amp;EDATE($A37,1))</f>
        <v>36</v>
      </c>
      <c r="F37" s="22"/>
    </row>
    <row r="38" customFormat="false" ht="15" hidden="false" customHeight="true" outlineLevel="0" collapsed="false">
      <c r="A38" s="28" t="n">
        <v>45689</v>
      </c>
      <c r="B38" s="21" t="n">
        <f aca="false">SUMIFS(Sales,OrderDate,"&gt;="&amp;$A38,OrderDate,"&lt;"&amp;EDATE($A38,1))</f>
        <v>24471.73</v>
      </c>
      <c r="C38" s="21" t="n">
        <f aca="false">SUMIFS(Profit,OrderDate,"&gt;="&amp;$A38,OrderDate,"&lt;"&amp;EDATE($A38,1))</f>
        <v>878.65</v>
      </c>
      <c r="D38" s="22" t="n">
        <f aca="false">IFERROR(C38/B38,0)</f>
        <v>0.0359046949275756</v>
      </c>
      <c r="E38" s="21" t="n">
        <f aca="false">COUNTIFS(OrderDate,"&gt;="&amp;$A38,OrderDate,"&lt;"&amp;EDATE($A38,1))</f>
        <v>38</v>
      </c>
      <c r="F38" s="22" t="n">
        <f aca="false">IFERROR(B38/B37-1,"")</f>
        <v>-0.00659409267696043</v>
      </c>
    </row>
    <row r="39" customFormat="false" ht="15" hidden="false" customHeight="true" outlineLevel="0" collapsed="false">
      <c r="A39" s="28" t="n">
        <v>45717</v>
      </c>
      <c r="B39" s="21" t="n">
        <f aca="false">SUMIFS(Sales,OrderDate,"&gt;="&amp;$A39,OrderDate,"&lt;"&amp;EDATE($A39,1))</f>
        <v>47503.52</v>
      </c>
      <c r="C39" s="21" t="n">
        <f aca="false">SUMIFS(Profit,OrderDate,"&gt;="&amp;$A39,OrderDate,"&lt;"&amp;EDATE($A39,1))</f>
        <v>2961.66</v>
      </c>
      <c r="D39" s="22" t="n">
        <f aca="false">IFERROR(C39/B39,0)</f>
        <v>0.0623461166667228</v>
      </c>
      <c r="E39" s="21" t="n">
        <f aca="false">COUNTIFS(OrderDate,"&gt;="&amp;$A39,OrderDate,"&lt;"&amp;EDATE($A39,1))</f>
        <v>53</v>
      </c>
      <c r="F39" s="22" t="n">
        <f aca="false">IFERROR(B39/B38-1,"")</f>
        <v>0.941159043516743</v>
      </c>
    </row>
    <row r="40" customFormat="false" ht="15" hidden="false" customHeight="true" outlineLevel="0" collapsed="false">
      <c r="A40" s="28" t="n">
        <v>45748</v>
      </c>
      <c r="B40" s="21" t="n">
        <f aca="false">SUMIFS(Sales,OrderDate,"&gt;="&amp;$A40,OrderDate,"&lt;"&amp;EDATE($A40,1))</f>
        <v>22900.52</v>
      </c>
      <c r="C40" s="21" t="n">
        <f aca="false">SUMIFS(Profit,OrderDate,"&gt;="&amp;$A40,OrderDate,"&lt;"&amp;EDATE($A40,1))</f>
        <v>52.92</v>
      </c>
      <c r="D40" s="22" t="n">
        <f aca="false">IFERROR(C40/B40,0)</f>
        <v>0.00231086455678736</v>
      </c>
      <c r="E40" s="21" t="n">
        <f aca="false">COUNTIFS(OrderDate,"&gt;="&amp;$A40,OrderDate,"&lt;"&amp;EDATE($A40,1))</f>
        <v>32</v>
      </c>
      <c r="F40" s="22" t="n">
        <f aca="false">IFERROR(B40/B39-1,"")</f>
        <v>-0.51791951417495</v>
      </c>
    </row>
    <row r="41" customFormat="false" ht="15" hidden="false" customHeight="true" outlineLevel="0" collapsed="false">
      <c r="A41" s="28" t="n">
        <v>45778</v>
      </c>
      <c r="B41" s="21" t="n">
        <f aca="false">SUMIFS(Sales,OrderDate,"&gt;="&amp;$A41,OrderDate,"&lt;"&amp;EDATE($A41,1))</f>
        <v>40829.01</v>
      </c>
      <c r="C41" s="21" t="n">
        <f aca="false">SUMIFS(Profit,OrderDate,"&gt;="&amp;$A41,OrderDate,"&lt;"&amp;EDATE($A41,1))</f>
        <v>2487.49</v>
      </c>
      <c r="D41" s="22" t="n">
        <f aca="false">IFERROR(C41/B41,0)</f>
        <v>0.0609245729935651</v>
      </c>
      <c r="E41" s="21" t="n">
        <f aca="false">COUNTIFS(OrderDate,"&gt;="&amp;$A41,OrderDate,"&lt;"&amp;EDATE($A41,1))</f>
        <v>49</v>
      </c>
      <c r="F41" s="22" t="n">
        <f aca="false">IFERROR(B41/B40-1,"")</f>
        <v>0.78288571613221</v>
      </c>
    </row>
    <row r="42" customFormat="false" ht="15" hidden="false" customHeight="true" outlineLevel="0" collapsed="false">
      <c r="A42" s="28" t="n">
        <v>45809</v>
      </c>
      <c r="B42" s="21" t="n">
        <f aca="false">SUMIFS(Sales,OrderDate,"&gt;="&amp;$A42,OrderDate,"&lt;"&amp;EDATE($A42,1))</f>
        <v>23750.75</v>
      </c>
      <c r="C42" s="21" t="n">
        <f aca="false">SUMIFS(Profit,OrderDate,"&gt;="&amp;$A42,OrderDate,"&lt;"&amp;EDATE($A42,1))</f>
        <v>1489.42</v>
      </c>
      <c r="D42" s="22" t="n">
        <f aca="false">IFERROR(C42/B42,0)</f>
        <v>0.0627104407229246</v>
      </c>
      <c r="E42" s="21" t="n">
        <f aca="false">COUNTIFS(OrderDate,"&gt;="&amp;$A42,OrderDate,"&lt;"&amp;EDATE($A42,1))</f>
        <v>34</v>
      </c>
      <c r="F42" s="22" t="n">
        <f aca="false">IFERROR(B42/B41-1,"")</f>
        <v>-0.418287389285217</v>
      </c>
    </row>
    <row r="43" customFormat="false" ht="15" hidden="false" customHeight="true" outlineLevel="0" collapsed="false">
      <c r="A43" s="28" t="n">
        <v>45839</v>
      </c>
      <c r="B43" s="21" t="n">
        <f aca="false">SUMIFS(Sales,OrderDate,"&gt;="&amp;$A43,OrderDate,"&lt;"&amp;EDATE($A43,1))</f>
        <v>31079.9</v>
      </c>
      <c r="C43" s="21" t="n">
        <f aca="false">SUMIFS(Profit,OrderDate,"&gt;="&amp;$A43,OrderDate,"&lt;"&amp;EDATE($A43,1))</f>
        <v>3008.15</v>
      </c>
      <c r="D43" s="22" t="n">
        <f aca="false">IFERROR(C43/B43,0)</f>
        <v>0.0967876344518483</v>
      </c>
      <c r="E43" s="21" t="n">
        <f aca="false">COUNTIFS(OrderDate,"&gt;="&amp;$A43,OrderDate,"&lt;"&amp;EDATE($A43,1))</f>
        <v>45</v>
      </c>
      <c r="F43" s="22" t="n">
        <f aca="false">IFERROR(B43/B42-1,"")</f>
        <v>0.308586044651222</v>
      </c>
    </row>
    <row r="44" customFormat="false" ht="15" hidden="false" customHeight="true" outlineLevel="0" collapsed="false">
      <c r="A44" s="28" t="n">
        <v>45870</v>
      </c>
      <c r="B44" s="21" t="n">
        <f aca="false">SUMIFS(Sales,OrderDate,"&gt;="&amp;$A44,OrderDate,"&lt;"&amp;EDATE($A44,1))</f>
        <v>24733.3</v>
      </c>
      <c r="C44" s="21" t="n">
        <f aca="false">SUMIFS(Profit,OrderDate,"&gt;="&amp;$A44,OrderDate,"&lt;"&amp;EDATE($A44,1))</f>
        <v>1363.49</v>
      </c>
      <c r="D44" s="22" t="n">
        <f aca="false">IFERROR(C44/B44,0)</f>
        <v>0.0551277023284398</v>
      </c>
      <c r="E44" s="21" t="n">
        <f aca="false">COUNTIFS(OrderDate,"&gt;="&amp;$A44,OrderDate,"&lt;"&amp;EDATE($A44,1))</f>
        <v>43</v>
      </c>
      <c r="F44" s="22" t="n">
        <f aca="false">IFERROR(B44/B43-1,"")</f>
        <v>-0.204202716224956</v>
      </c>
    </row>
    <row r="45" customFormat="false" ht="15" hidden="false" customHeight="true" outlineLevel="0" collapsed="false">
      <c r="A45" s="28" t="n">
        <v>45901</v>
      </c>
      <c r="B45" s="21" t="n">
        <f aca="false">SUMIFS(Sales,OrderDate,"&gt;="&amp;$A45,OrderDate,"&lt;"&amp;EDATE($A45,1))</f>
        <v>34010.48</v>
      </c>
      <c r="C45" s="21" t="n">
        <f aca="false">SUMIFS(Profit,OrderDate,"&gt;="&amp;$A45,OrderDate,"&lt;"&amp;EDATE($A45,1))</f>
        <v>1106.74</v>
      </c>
      <c r="D45" s="22" t="n">
        <f aca="false">IFERROR(C45/B45,0)</f>
        <v>0.0325411461408366</v>
      </c>
      <c r="E45" s="21" t="n">
        <f aca="false">COUNTIFS(OrderDate,"&gt;="&amp;$A45,OrderDate,"&lt;"&amp;EDATE($A45,1))</f>
        <v>59</v>
      </c>
      <c r="F45" s="22" t="n">
        <f aca="false">IFERROR(B45/B44-1,"")</f>
        <v>0.375088645672029</v>
      </c>
    </row>
    <row r="46" customFormat="false" ht="15" hidden="false" customHeight="true" outlineLevel="0" collapsed="false">
      <c r="A46" s="28" t="n">
        <v>45931</v>
      </c>
      <c r="B46" s="21" t="n">
        <f aca="false">SUMIFS(Sales,OrderDate,"&gt;="&amp;$A46,OrderDate,"&lt;"&amp;EDATE($A46,1))</f>
        <v>27513.9</v>
      </c>
      <c r="C46" s="21" t="n">
        <f aca="false">SUMIFS(Profit,OrderDate,"&gt;="&amp;$A46,OrderDate,"&lt;"&amp;EDATE($A46,1))</f>
        <v>159.6</v>
      </c>
      <c r="D46" s="22" t="n">
        <f aca="false">IFERROR(C46/B46,0)</f>
        <v>0.00580070437124508</v>
      </c>
      <c r="E46" s="21" t="n">
        <f aca="false">COUNTIFS(OrderDate,"&gt;="&amp;$A46,OrderDate,"&lt;"&amp;EDATE($A46,1))</f>
        <v>54</v>
      </c>
      <c r="F46" s="22" t="n">
        <f aca="false">IFERROR(B46/B45-1,"")</f>
        <v>-0.191017004170479</v>
      </c>
    </row>
    <row r="47" customFormat="false" ht="15" hidden="false" customHeight="true" outlineLevel="0" collapsed="false">
      <c r="A47" s="28" t="n">
        <v>45962</v>
      </c>
      <c r="B47" s="21" t="n">
        <f aca="false">SUMIFS(Sales,OrderDate,"&gt;="&amp;$A47,OrderDate,"&lt;"&amp;EDATE($A47,1))</f>
        <v>54990.66</v>
      </c>
      <c r="C47" s="21" t="n">
        <f aca="false">SUMIFS(Profit,OrderDate,"&gt;="&amp;$A47,OrderDate,"&lt;"&amp;EDATE($A47,1))</f>
        <v>1005.63</v>
      </c>
      <c r="D47" s="22" t="n">
        <f aca="false">IFERROR(C47/B47,0)</f>
        <v>0.0182872873320669</v>
      </c>
      <c r="E47" s="21" t="n">
        <f aca="false">COUNTIFS(OrderDate,"&gt;="&amp;$A47,OrderDate,"&lt;"&amp;EDATE($A47,1))</f>
        <v>87</v>
      </c>
      <c r="F47" s="22" t="n">
        <f aca="false">IFERROR(B47/B46-1,"")</f>
        <v>0.998650136839925</v>
      </c>
    </row>
    <row r="48" customFormat="false" ht="15" hidden="false" customHeight="true" outlineLevel="0" collapsed="false">
      <c r="A48" s="28" t="n">
        <v>45992</v>
      </c>
      <c r="B48" s="21" t="n">
        <f aca="false">SUMIFS(Sales,OrderDate,"&gt;="&amp;$A48,OrderDate,"&lt;"&amp;EDATE($A48,1))</f>
        <v>50218.7</v>
      </c>
      <c r="C48" s="21" t="n">
        <f aca="false">SUMIFS(Profit,OrderDate,"&gt;="&amp;$A48,OrderDate,"&lt;"&amp;EDATE($A48,1))</f>
        <v>925.32</v>
      </c>
      <c r="D48" s="22" t="n">
        <f aca="false">IFERROR(C48/B48,0)</f>
        <v>0.0184258055266265</v>
      </c>
      <c r="E48" s="21" t="n">
        <f aca="false">COUNTIFS(OrderDate,"&gt;="&amp;$A48,OrderDate,"&lt;"&amp;EDATE($A48,1))</f>
        <v>70</v>
      </c>
      <c r="F48" s="22" t="n">
        <f aca="false">IFERROR(B48/B47-1,"")</f>
        <v>-0.0867776455128927</v>
      </c>
    </row>
    <row r="51" customFormat="false" ht="15" hidden="false" customHeight="true" outlineLevel="0" collapsed="false">
      <c r="A51" s="17" t="s">
        <v>653</v>
      </c>
    </row>
    <row r="52" customFormat="false" ht="15" hidden="false" customHeight="true" outlineLevel="0" collapsed="false">
      <c r="A52" s="11" t="s">
        <v>13</v>
      </c>
      <c r="B52" s="11" t="s">
        <v>39</v>
      </c>
      <c r="C52" s="11" t="s">
        <v>34</v>
      </c>
      <c r="D52" s="11" t="s">
        <v>26</v>
      </c>
      <c r="E52" s="11" t="s">
        <v>21</v>
      </c>
      <c r="F52" s="11" t="s">
        <v>654</v>
      </c>
    </row>
    <row r="53" customFormat="false" ht="15" hidden="false" customHeight="true" outlineLevel="0" collapsed="false">
      <c r="A53" s="20" t="s">
        <v>27</v>
      </c>
      <c r="B53" s="21" t="n">
        <f aca="false">SUMIFS(Sales,Category,$A53,Region,B$52)</f>
        <v>53168.05</v>
      </c>
      <c r="C53" s="21" t="n">
        <f aca="false">SUMIFS(Sales,Category,$A53,Region,C$52)</f>
        <v>50955.43</v>
      </c>
      <c r="D53" s="21" t="n">
        <f aca="false">SUMIFS(Sales,Category,$A53,Region,D$52)</f>
        <v>24015.74</v>
      </c>
      <c r="E53" s="21" t="n">
        <f aca="false">SUMIFS(Sales,Category,$A53,Region,E$52)</f>
        <v>15045.22</v>
      </c>
      <c r="F53" s="21" t="n">
        <f aca="false">SUM(B53:E53)</f>
        <v>143184.44</v>
      </c>
    </row>
    <row r="54" customFormat="false" ht="15" hidden="false" customHeight="true" outlineLevel="0" collapsed="false">
      <c r="A54" s="20" t="s">
        <v>22</v>
      </c>
      <c r="B54" s="21" t="n">
        <f aca="false">SUMIFS(Sales,Category,$A54,Region,B$52)</f>
        <v>13507.55</v>
      </c>
      <c r="C54" s="21" t="n">
        <f aca="false">SUMIFS(Sales,Category,$A54,Region,C$52)</f>
        <v>13509.01</v>
      </c>
      <c r="D54" s="21" t="n">
        <f aca="false">SUMIFS(Sales,Category,$A54,Region,D$52)</f>
        <v>8531.4</v>
      </c>
      <c r="E54" s="21" t="n">
        <f aca="false">SUMIFS(Sales,Category,$A54,Region,E$52)</f>
        <v>6777.11</v>
      </c>
      <c r="F54" s="21" t="n">
        <f aca="false">SUM(B54:E54)</f>
        <v>42325.07</v>
      </c>
    </row>
    <row r="55" customFormat="false" ht="15" hidden="false" customHeight="true" outlineLevel="0" collapsed="false">
      <c r="A55" s="20" t="s">
        <v>31</v>
      </c>
      <c r="B55" s="21" t="n">
        <f aca="false">SUMIFS(Sales,Category,$A55,Region,B$52)</f>
        <v>59076.18</v>
      </c>
      <c r="C55" s="21" t="n">
        <f aca="false">SUMIFS(Sales,Category,$A55,Region,C$52)</f>
        <v>58502.39</v>
      </c>
      <c r="D55" s="21" t="n">
        <f aca="false">SUMIFS(Sales,Category,$A55,Region,D$52)</f>
        <v>43662.23</v>
      </c>
      <c r="E55" s="21" t="n">
        <f aca="false">SUMIFS(Sales,Category,$A55,Region,E$52)</f>
        <v>59886.33</v>
      </c>
      <c r="F55" s="21" t="n">
        <f aca="false">SUM(B55:E55)</f>
        <v>221127.13</v>
      </c>
    </row>
    <row r="56" customFormat="false" ht="15" hidden="false" customHeight="true" outlineLevel="0" collapsed="false">
      <c r="A56" s="24" t="s">
        <v>647</v>
      </c>
      <c r="B56" s="25" t="n">
        <f aca="false">SUM(B53:B55)</f>
        <v>125751.78</v>
      </c>
      <c r="C56" s="25" t="n">
        <f aca="false">SUM(C53:C55)</f>
        <v>122966.83</v>
      </c>
      <c r="D56" s="25" t="n">
        <f aca="false">SUM(D53:D55)</f>
        <v>76209.37</v>
      </c>
      <c r="E56" s="25" t="n">
        <f aca="false">SUM(E53:E55)</f>
        <v>81708.66</v>
      </c>
      <c r="F56" s="25" t="n">
        <f aca="false">SUM(F53:F55)</f>
        <v>406636.64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2026-10-24T14:41:26Z</dcterms:created>
  <dc:creator>openpyxl</dc:creator>
  <dc:description/>
  <dc:language>en-US</dc:language>
  <cp:lastModifiedBy/>
  <dcterms:modified xsi:type="dcterms:W3CDTF">2026-10-24T14:41:46Z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